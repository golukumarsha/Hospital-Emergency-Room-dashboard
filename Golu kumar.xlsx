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ml.chartshapes+xml"/>
  <Override PartName="/xl/drawings/drawing8.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9.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HP\OneDrive\Desktop\ML-SHE\Excle\"/>
    </mc:Choice>
  </mc:AlternateContent>
  <xr:revisionPtr revIDLastSave="0" documentId="8_{90985D93-6767-4D8D-99F2-8C8BE2F951A9}" xr6:coauthVersionLast="47" xr6:coauthVersionMax="47" xr10:uidLastSave="{00000000-0000-0000-0000-000000000000}"/>
  <bookViews>
    <workbookView xWindow="-108" yWindow="-108" windowWidth="23256" windowHeight="12456" firstSheet="1" activeTab="1" xr2:uid="{BB4D868F-D807-47E8-B175-62A320BF31C5}"/>
  </bookViews>
  <sheets>
    <sheet name="Pivot Report" sheetId="1" r:id="rId1"/>
    <sheet name="Dashboard" sheetId="2" r:id="rId2"/>
    <sheet name="Average wait time daily trend" sheetId="4" r:id="rId3"/>
    <sheet name="Daily ER No of patient" sheetId="3" r:id="rId4"/>
    <sheet name="Satisfaction score daily trends" sheetId="5" r:id="rId5"/>
  </sheets>
  <definedNames>
    <definedName name="Slicer_Date__Month">#N/A</definedName>
    <definedName name="Slicer_Date__Year">#N/A</definedName>
  </definedNames>
  <calcPr calcId="191029"/>
  <pivotCaches>
    <pivotCache cacheId="630" r:id="rId6"/>
    <pivotCache cacheId="633" r:id="rId7"/>
    <pivotCache cacheId="636" r:id="rId8"/>
    <pivotCache cacheId="639" r:id="rId9"/>
    <pivotCache cacheId="642" r:id="rId10"/>
    <pivotCache cacheId="645" r:id="rId11"/>
    <pivotCache cacheId="648" r:id="rId12"/>
    <pivotCache cacheId="651" r:id="rId13"/>
    <pivotCache cacheId="654" r:id="rId14"/>
    <pivotCache cacheId="657" r:id="rId15"/>
    <pivotCache cacheId="660" r:id="rId16"/>
    <pivotCache cacheId="663" r:id="rId17"/>
  </pivotCaches>
  <extLst>
    <ext xmlns:x14="http://schemas.microsoft.com/office/spreadsheetml/2009/9/main" uri="{876F7934-8845-4945-9796-88D515C7AA90}">
      <x14:pivotCaches>
        <pivotCache cacheId="419"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97278d7a-a71d-4b04-8133-e90ce8e6e9d0" name="Hospital Emergency Room Data" connection="Query - Hospital Emergency Room Data"/>
          <x15:modelTable id="Calendar_Table_233911d4-ec8b-49d2-88be-fe2e4d38d09e"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5" i="1" l="1"/>
  <c r="C45" i="1"/>
  <c r="B44" i="1"/>
  <c r="C44" i="1"/>
  <c r="A44" i="1"/>
  <c r="A4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12EE3C5-8D18-4F09-B088-5D506618270A}" name="Query - Calendar_Table" description="Connection to the 'Calendar_Table' query in the workbook." type="100" refreshedVersion="8" minRefreshableVersion="5">
    <extLst>
      <ext xmlns:x15="http://schemas.microsoft.com/office/spreadsheetml/2010/11/main" uri="{DE250136-89BD-433C-8126-D09CA5730AF9}">
        <x15:connection id="603d031c-a5d7-4247-a331-1d51364ca3f8"/>
      </ext>
    </extLst>
  </connection>
  <connection id="2" xr16:uid="{739BE515-4FFE-43B2-A542-2A2F1DCF25BE}"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b76f95f9-8c37-48a9-a7f3-b6fe0fcd5857"/>
      </ext>
    </extLst>
  </connection>
  <connection id="3" xr16:uid="{E0514CD3-2568-4571-BCB4-802124604579}"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<sst xmlns="http://schemas.openxmlformats.org/spreadsheetml/2006/main" count="155" uniqueCount="76">
  <si>
    <t>Distinct Count of Patient Id</t>
  </si>
  <si>
    <t>Average of Patient Waittime</t>
  </si>
  <si>
    <t>Average of Patient Satisfaction Score</t>
  </si>
  <si>
    <t>Grand Total</t>
  </si>
  <si>
    <t>Row Labels</t>
  </si>
  <si>
    <t>Dashboard!A1</t>
  </si>
  <si>
    <t>daily trends of number of patient</t>
  </si>
  <si>
    <t xml:space="preserve">average wait time </t>
  </si>
  <si>
    <t>Use an area chart to track daily changes and highlight days with longer wait times that might need improvement</t>
  </si>
  <si>
    <t>Use an area Chart to show trends, spot drops in satisfaction, and link them to busy times or challeges.</t>
  </si>
  <si>
    <t>Satisfaction score daily trend</t>
  </si>
  <si>
    <t>Count of Patient Admission Flag</t>
  </si>
  <si>
    <t>Admitted</t>
  </si>
  <si>
    <t>Not Admitted</t>
  </si>
  <si>
    <t>Count of Patient Admission Flag2</t>
  </si>
  <si>
    <t xml:space="preserve">Admission status </t>
  </si>
  <si>
    <t xml:space="preserve">  % Status</t>
  </si>
  <si>
    <t>Patient</t>
  </si>
  <si>
    <t>1-Apr</t>
  </si>
  <si>
    <t>2-Apr</t>
  </si>
  <si>
    <t>3-Apr</t>
  </si>
  <si>
    <t>4-Apr</t>
  </si>
  <si>
    <t>5-Apr</t>
  </si>
  <si>
    <t>6-Apr</t>
  </si>
  <si>
    <t>7-Apr</t>
  </si>
  <si>
    <t>8-Apr</t>
  </si>
  <si>
    <t>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</si>
  <si>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</si>
  <si>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</si>
  <si>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</si>
  <si>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</si>
  <si>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</si>
  <si>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</si>
  <si>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</si>
  <si>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</si>
  <si>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</si>
  <si>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</si>
  <si>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</si>
  <si>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</si>
  <si>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</si>
  <si>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</si>
  <si>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</si>
  <si>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</si>
  <si>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</si>
  <si>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</si>
  <si>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</si>
  <si>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</si>
  <si>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</si>
  <si>
    <t>0-09</t>
  </si>
  <si>
    <t>10-19</t>
  </si>
  <si>
    <t>20-29</t>
  </si>
  <si>
    <t>30-39</t>
  </si>
  <si>
    <t>40-49</t>
  </si>
  <si>
    <t>50-59</t>
  </si>
  <si>
    <t>60-69</t>
  </si>
  <si>
    <t>70-79</t>
  </si>
  <si>
    <t>Count of Age Group</t>
  </si>
  <si>
    <t>Age group by analysis</t>
  </si>
  <si>
    <t>Onetime</t>
  </si>
  <si>
    <t>Dealy</t>
  </si>
  <si>
    <t>Count of Patient Attend Status</t>
  </si>
  <si>
    <t>attended status</t>
  </si>
  <si>
    <t>Female</t>
  </si>
  <si>
    <t>Male</t>
  </si>
  <si>
    <t>Count of Patient Gender</t>
  </si>
  <si>
    <t>gender by analysis</t>
  </si>
  <si>
    <t>Cardiology</t>
  </si>
  <si>
    <t>Gastroenterology</t>
  </si>
  <si>
    <t>General Practice</t>
  </si>
  <si>
    <t>Neurology</t>
  </si>
  <si>
    <t>None</t>
  </si>
  <si>
    <t>Orthopedics</t>
  </si>
  <si>
    <t>Physiotherapy</t>
  </si>
  <si>
    <t>Renal</t>
  </si>
  <si>
    <t>Count of Department Referral</t>
  </si>
  <si>
    <t>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</si>
</sst>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sz val="11"/>
      <color theme="1"/>
      <name val="Calibri"/>
      <family val="2"/>
      <scheme val="minor"/>
    </font>
    <font>
      <u/>
      <sz val="11"/>
      <color theme="10"/>
      <name val="Calibri"/>
      <family val="2"/>
      <scheme val="minor"/>
    </font>
  </fonts>
  <fills count="6">
    <fill>
      <patternFill patternType="none"/>
    </fill>
    <fill>
      <patternFill patternType="gray125"/>
    </fill>
    <fill>
      <patternFill patternType="solid">
        <fgColor theme="1" tint="0.249977111117893"/>
        <bgColor indexed="64"/>
      </patternFill>
    </fill>
    <fill>
      <patternFill patternType="solid">
        <fgColor theme="0"/>
        <bgColor indexed="64"/>
      </patternFill>
    </fill>
    <fill>
      <patternFill patternType="solid">
        <fgColor theme="0" tint="-4.9989318521683403E-2"/>
        <bgColor indexed="64"/>
      </patternFill>
    </fill>
    <fill>
      <patternFill patternType="solid">
        <fgColor rgb="FF00B0F0"/>
        <bgColor indexed="64"/>
      </patternFill>
    </fill>
  </fills>
  <borders count="2">
    <border>
      <left/>
      <right/>
      <top/>
      <bottom/>
      <diagonal/>
    </border>
    <border>
      <left/>
      <right/>
      <top/>
      <bottom style="thin">
        <color indexed="64"/>
      </bottom>
      <diagonal/>
    </border>
  </borders>
  <cellStyleXfs count="3">
    <xf numFmtId="0" fontId="0" fillId="0" borderId="0"/>
    <xf numFmtId="9" fontId="1" fillId="0" borderId="0" applyFont="0" applyFill="0" applyBorder="0" applyAlignment="0" applyProtection="0"/>
    <xf numFmtId="0" fontId="2" fillId="0" borderId="0" applyNumberFormat="0" applyFill="0" applyBorder="0" applyAlignment="0" applyProtection="0"/>
  </cellStyleXfs>
  <cellXfs count="15">
    <xf numFmtId="0" fontId="0" fillId="0" borderId="0" xfId="0"/>
    <xf numFmtId="0" fontId="0" fillId="0" borderId="0" xfId="0" pivotButton="1"/>
    <xf numFmtId="2" fontId="0" fillId="0" borderId="0" xfId="0" applyNumberFormat="1"/>
    <xf numFmtId="0" fontId="0" fillId="2" borderId="0" xfId="0" applyFill="1"/>
    <xf numFmtId="0" fontId="0" fillId="2" borderId="1" xfId="0" applyFill="1" applyBorder="1"/>
    <xf numFmtId="0" fontId="0" fillId="0" borderId="0" xfId="0" applyAlignment="1">
      <alignment horizontal="left"/>
    </xf>
    <xf numFmtId="0" fontId="2" fillId="3" borderId="0" xfId="2" applyFill="1"/>
    <xf numFmtId="0" fontId="0" fillId="0" borderId="0" xfId="0" applyNumberFormat="1"/>
    <xf numFmtId="0" fontId="0" fillId="4" borderId="0" xfId="0" applyFill="1"/>
    <xf numFmtId="1" fontId="0" fillId="0" borderId="0" xfId="0" applyNumberFormat="1"/>
    <xf numFmtId="10" fontId="0" fillId="0" borderId="0" xfId="0" applyNumberFormat="1"/>
    <xf numFmtId="0" fontId="0" fillId="5" borderId="0" xfId="0" applyFill="1"/>
    <xf numFmtId="0" fontId="0" fillId="5" borderId="0" xfId="0" applyFill="1" applyAlignment="1">
      <alignment horizontal="center"/>
    </xf>
    <xf numFmtId="0" fontId="0" fillId="4" borderId="0" xfId="0" applyFill="1" applyAlignment="1">
      <alignment horizontal="center"/>
    </xf>
    <xf numFmtId="9" fontId="0" fillId="4" borderId="0" xfId="1" applyFont="1" applyFill="1" applyAlignment="1">
      <alignment horizontal="center"/>
    </xf>
  </cellXfs>
  <cellStyles count="3">
    <cellStyle name="Hyperlink" xfId="2" builtinId="8"/>
    <cellStyle name="Normal" xfId="0" builtinId="0"/>
    <cellStyle name="Percent" xfId="1" builtinId="5"/>
  </cellStyles>
  <dxfs count="94">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2" formatCode="0.00"/>
    </dxf>
    <dxf>
      <numFmt numFmtId="2" formatCode="0.00"/>
    </dxf>
    <dxf>
      <numFmt numFmtId="2" formatCode="0.00"/>
    </dxf>
    <dxf>
      <numFmt numFmtId="2" formatCode="0.00"/>
    </dxf>
    <dxf>
      <font>
        <b/>
        <color theme="1"/>
      </font>
      <border>
        <bottom style="thin">
          <color theme="5"/>
        </bottom>
        <vertical/>
        <horizontal/>
      </border>
    </dxf>
    <dxf>
      <font>
        <sz val="5"/>
        <color theme="1"/>
      </font>
      <fill>
        <patternFill patternType="none">
          <bgColor auto="1"/>
        </patternFill>
      </fill>
      <border diagonalUp="0" diagonalDown="0">
        <left/>
        <right/>
        <top/>
        <bottom/>
        <vertical/>
        <horizontal/>
      </border>
    </dxf>
  </dxfs>
  <tableStyles count="1" defaultTableStyle="TableStyleMedium2" defaultPivotStyle="PivotStyleLight16">
    <tableStyle name="My Style" pivot="0" table="0" count="10" xr9:uid="{99CB3F2E-54B0-438A-B4A6-58B292CFB3BE}">
      <tableStyleElement type="wholeTable" dxfId="93"/>
      <tableStyleElement type="headerRow" dxfId="92"/>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21" Type="http://schemas.openxmlformats.org/officeDocument/2006/relationships/theme" Target="theme/theme1.xml"/><Relationship Id="rId34" Type="http://schemas.openxmlformats.org/officeDocument/2006/relationships/customXml" Target="../customXml/item8.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8" Type="http://schemas.openxmlformats.org/officeDocument/2006/relationships/pivotCacheDefinition" Target="pivotCache/pivotCacheDefinition3.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[Golu kumar.xlsx]Pivot Report!PivotTable8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25114CD-F576-4112-A289-4063BD31AEF7}" type="CELLRANGE">
                  <a:rPr lang="en-US"/>
                  <a:pPr>
                    <a:defRPr/>
                  </a:pPr>
                  <a:t>[CELLRANGE]</a:t>
                </a:fld>
                <a:endParaRPr lang="en-IN"/>
              </a:p>
            </c:rich>
          </c:tx>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Lst>
        </c:dLbl>
      </c:pivotFmt>
      <c:pivotFmt>
        <c:idx val="3"/>
        <c:spPr>
          <a:solidFill>
            <a:schemeClr val="accent1"/>
          </a:solidFill>
          <a:ln>
            <a:noFill/>
          </a:ln>
          <a:effectLst/>
        </c:spPr>
        <c:dLbl>
          <c:idx val="0"/>
          <c:tx>
            <c:rich>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FAB545B-AD97-4374-8D87-876B683633D7}" type="CELLRANGE">
                  <a:rPr lang="en-US"/>
                  <a:pPr>
                    <a:defRPr/>
                  </a:pPr>
                  <a:t>[CELLRANGE]</a:t>
                </a:fld>
                <a:endParaRPr lang="en-IN"/>
              </a:p>
            </c:rich>
          </c:tx>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Lst>
        </c:dLbl>
      </c:pivotFmt>
    </c:pivotFmts>
    <c:plotArea>
      <c:layout>
        <c:manualLayout>
          <c:layoutTarget val="inner"/>
          <c:xMode val="edge"/>
          <c:yMode val="edge"/>
          <c:x val="5.7609148747142083E-2"/>
          <c:y val="0.21633323680669223"/>
          <c:w val="0.80041354491292016"/>
          <c:h val="0.72878497893160876"/>
        </c:manualLayout>
      </c:layout>
      <c:barChart>
        <c:barDir val="bar"/>
        <c:grouping val="clustered"/>
        <c:varyColors val="0"/>
        <c:ser>
          <c:idx val="0"/>
          <c:order val="0"/>
          <c:tx>
            <c:strRef>
              <c:f>'Pivot Report'!$C$38:$C$39</c:f>
              <c:strCache>
                <c:ptCount val="1"/>
                <c:pt idx="0">
                  <c:v>Count of Patient Admission Flag</c:v>
                </c:pt>
              </c:strCache>
            </c:strRef>
          </c:tx>
          <c:spPr>
            <a:solidFill>
              <a:schemeClr val="accent1"/>
            </a:solidFill>
            <a:ln>
              <a:noFill/>
            </a:ln>
            <a:effectLst/>
          </c:spPr>
          <c:invertIfNegative val="0"/>
          <c:dLbls>
            <c:dLbl>
              <c:idx val="0"/>
              <c:tx>
                <c:rich>
                  <a:bodyPr/>
                  <a:lstStyle/>
                  <a:p>
                    <a:fld id="{E25114CD-F576-4112-A289-4063BD31AEF7}"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148A-4B33-9DB3-CF2121977C00}"/>
                </c:ext>
              </c:extLst>
            </c:dLbl>
            <c:dLbl>
              <c:idx val="1"/>
              <c:tx>
                <c:rich>
                  <a:bodyPr/>
                  <a:lstStyle/>
                  <a:p>
                    <a:fld id="{FFAB545B-AD97-4374-8D87-876B683633D7}"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148A-4B33-9DB3-CF2121977C00}"/>
                </c:ext>
              </c:extLst>
            </c:dLbl>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DataLabelsRange val="1"/>
                <c15:showLeaderLines val="0"/>
              </c:ext>
            </c:extLst>
          </c:dLbls>
          <c:cat>
            <c:strRef>
              <c:f>'Pivot Report'!$C$38:$C$39</c:f>
              <c:strCache>
                <c:ptCount val="2"/>
                <c:pt idx="0">
                  <c:v>Admitted</c:v>
                </c:pt>
                <c:pt idx="1">
                  <c:v>Not Admitted</c:v>
                </c:pt>
              </c:strCache>
            </c:strRef>
          </c:cat>
          <c:val>
            <c:numRef>
              <c:f>'Pivot Report'!$C$38:$C$39</c:f>
              <c:numCache>
                <c:formatCode>0</c:formatCode>
                <c:ptCount val="2"/>
                <c:pt idx="0">
                  <c:v>237</c:v>
                </c:pt>
                <c:pt idx="1">
                  <c:v>242</c:v>
                </c:pt>
              </c:numCache>
            </c:numRef>
          </c:val>
          <c:extLst>
            <c:ext xmlns:c15="http://schemas.microsoft.com/office/drawing/2012/chart" uri="{02D57815-91ED-43cb-92C2-25804820EDAC}">
              <c15:datalabelsRange>
                <c15:f>'Pivot Report'!$C$38:$C$39</c15:f>
                <c15:dlblRangeCache>
                  <c:ptCount val="2"/>
                  <c:pt idx="0">
                    <c:v>49.48%</c:v>
                  </c:pt>
                  <c:pt idx="1">
                    <c:v>50.52%</c:v>
                  </c:pt>
                </c15:dlblRangeCache>
              </c15:datalabelsRange>
            </c:ext>
            <c:ext xmlns:c16="http://schemas.microsoft.com/office/drawing/2014/chart" uri="{C3380CC4-5D6E-409C-BE32-E72D297353CC}">
              <c16:uniqueId val="{00000000-148A-4B33-9DB3-CF2121977C00}"/>
            </c:ext>
          </c:extLst>
        </c:ser>
        <c:ser>
          <c:idx val="1"/>
          <c:order val="1"/>
          <c:tx>
            <c:strRef>
              <c:f>'Pivot Report'!$C$38:$C$39</c:f>
              <c:strCache>
                <c:ptCount val="1"/>
                <c:pt idx="0">
                  <c:v>Count of Patient Admission Flag2</c:v>
                </c:pt>
              </c:strCache>
            </c:strRef>
          </c:tx>
          <c:spPr>
            <a:solidFill>
              <a:schemeClr val="accent2"/>
            </a:solidFill>
            <a:ln>
              <a:noFill/>
            </a:ln>
            <a:effectLst/>
          </c:spPr>
          <c:invertIfNegative val="0"/>
          <c:cat>
            <c:strRef>
              <c:f>'Pivot Report'!$C$38:$C$39</c:f>
              <c:strCache>
                <c:ptCount val="2"/>
                <c:pt idx="0">
                  <c:v>Admitted</c:v>
                </c:pt>
                <c:pt idx="1">
                  <c:v>Not Admitted</c:v>
                </c:pt>
              </c:strCache>
            </c:strRef>
          </c:cat>
          <c:val>
            <c:numRef>
              <c:f>'Pivot Report'!$C$38:$C$39</c:f>
              <c:numCache>
                <c:formatCode>0.00%</c:formatCode>
                <c:ptCount val="2"/>
                <c:pt idx="0">
                  <c:v>0.49478079331941544</c:v>
                </c:pt>
                <c:pt idx="1">
                  <c:v>0.50521920668058451</c:v>
                </c:pt>
              </c:numCache>
            </c:numRef>
          </c:val>
          <c:extLst>
            <c:ext xmlns:c16="http://schemas.microsoft.com/office/drawing/2014/chart" uri="{C3380CC4-5D6E-409C-BE32-E72D297353CC}">
              <c16:uniqueId val="{00000001-148A-4B33-9DB3-CF2121977C00}"/>
            </c:ext>
          </c:extLst>
        </c:ser>
        <c:dLbls>
          <c:showLegendKey val="0"/>
          <c:showVal val="0"/>
          <c:showCatName val="0"/>
          <c:showSerName val="0"/>
          <c:showPercent val="0"/>
          <c:showBubbleSize val="0"/>
        </c:dLbls>
        <c:gapWidth val="0"/>
        <c:axId val="1380744959"/>
        <c:axId val="1380758879"/>
      </c:barChart>
      <c:catAx>
        <c:axId val="1380744959"/>
        <c:scaling>
          <c:orientation val="minMax"/>
        </c:scaling>
        <c:delete val="1"/>
        <c:axPos val="l"/>
        <c:numFmt formatCode="General" sourceLinked="1"/>
        <c:majorTickMark val="none"/>
        <c:minorTickMark val="none"/>
        <c:tickLblPos val="nextTo"/>
        <c:crossAx val="1380758879"/>
        <c:crosses val="autoZero"/>
        <c:auto val="1"/>
        <c:lblAlgn val="ctr"/>
        <c:lblOffset val="100"/>
        <c:noMultiLvlLbl val="0"/>
      </c:catAx>
      <c:valAx>
        <c:axId val="1380758879"/>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38074495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[Golu kumar.xlsx]Pivot Report!PivotTable5</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321253540163705E-2"/>
          <c:y val="0.28909088332144361"/>
          <c:w val="0.90924343325025225"/>
          <c:h val="0.62575851337046284"/>
        </c:manualLayout>
      </c:layout>
      <c:areaChart>
        <c:grouping val="standard"/>
        <c:varyColors val="0"/>
        <c:ser>
          <c:idx val="0"/>
          <c:order val="0"/>
          <c:tx>
            <c:strRef>
              <c:f>'Pivot Report'!$D$3</c:f>
              <c:strCache>
                <c:ptCount val="1"/>
                <c:pt idx="0">
                  <c:v>Total</c:v>
                </c:pt>
              </c:strCache>
            </c:strRef>
          </c:tx>
          <c:spPr>
            <a:solidFill>
              <a:schemeClr val="accent1"/>
            </a:solidFill>
            <a:ln>
              <a:noFill/>
            </a:ln>
            <a:effectLst/>
          </c:spPr>
          <c:cat>
            <c:strRef>
              <c:f>'Pivot Report'!$C$4:$C$34</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Report'!$D$4:$D$34</c:f>
              <c:numCache>
                <c:formatCode>General</c:formatCode>
                <c:ptCount val="30"/>
                <c:pt idx="0">
                  <c:v>19</c:v>
                </c:pt>
                <c:pt idx="1">
                  <c:v>13</c:v>
                </c:pt>
                <c:pt idx="2">
                  <c:v>14</c:v>
                </c:pt>
                <c:pt idx="3">
                  <c:v>9</c:v>
                </c:pt>
                <c:pt idx="4">
                  <c:v>19</c:v>
                </c:pt>
                <c:pt idx="5">
                  <c:v>14</c:v>
                </c:pt>
                <c:pt idx="6">
                  <c:v>11</c:v>
                </c:pt>
                <c:pt idx="7">
                  <c:v>22</c:v>
                </c:pt>
                <c:pt idx="8">
                  <c:v>12</c:v>
                </c:pt>
                <c:pt idx="9">
                  <c:v>13</c:v>
                </c:pt>
                <c:pt idx="10">
                  <c:v>17</c:v>
                </c:pt>
                <c:pt idx="11">
                  <c:v>30</c:v>
                </c:pt>
                <c:pt idx="12">
                  <c:v>13</c:v>
                </c:pt>
                <c:pt idx="13">
                  <c:v>21</c:v>
                </c:pt>
                <c:pt idx="14">
                  <c:v>12</c:v>
                </c:pt>
                <c:pt idx="15">
                  <c:v>17</c:v>
                </c:pt>
                <c:pt idx="16">
                  <c:v>16</c:v>
                </c:pt>
                <c:pt idx="17">
                  <c:v>20</c:v>
                </c:pt>
                <c:pt idx="18">
                  <c:v>18</c:v>
                </c:pt>
                <c:pt idx="19">
                  <c:v>16</c:v>
                </c:pt>
                <c:pt idx="20">
                  <c:v>15</c:v>
                </c:pt>
                <c:pt idx="21">
                  <c:v>18</c:v>
                </c:pt>
                <c:pt idx="22">
                  <c:v>12</c:v>
                </c:pt>
                <c:pt idx="23">
                  <c:v>14</c:v>
                </c:pt>
                <c:pt idx="24">
                  <c:v>18</c:v>
                </c:pt>
                <c:pt idx="25">
                  <c:v>16</c:v>
                </c:pt>
                <c:pt idx="26">
                  <c:v>16</c:v>
                </c:pt>
                <c:pt idx="27">
                  <c:v>16</c:v>
                </c:pt>
                <c:pt idx="28">
                  <c:v>14</c:v>
                </c:pt>
                <c:pt idx="29">
                  <c:v>14</c:v>
                </c:pt>
              </c:numCache>
            </c:numRef>
          </c:val>
          <c:extLst>
            <c:ext xmlns:c16="http://schemas.microsoft.com/office/drawing/2014/chart" uri="{C3380CC4-5D6E-409C-BE32-E72D297353CC}">
              <c16:uniqueId val="{00000000-A094-4B6E-A737-8523A1B905D6}"/>
            </c:ext>
          </c:extLst>
        </c:ser>
        <c:dLbls>
          <c:showLegendKey val="0"/>
          <c:showVal val="0"/>
          <c:showCatName val="0"/>
          <c:showSerName val="0"/>
          <c:showPercent val="0"/>
          <c:showBubbleSize val="0"/>
        </c:dLbls>
        <c:axId val="2010820687"/>
        <c:axId val="2010826927"/>
      </c:areaChart>
      <c:catAx>
        <c:axId val="2010820687"/>
        <c:scaling>
          <c:orientation val="minMax"/>
        </c:scaling>
        <c:delete val="1"/>
        <c:axPos val="b"/>
        <c:numFmt formatCode="General" sourceLinked="1"/>
        <c:majorTickMark val="out"/>
        <c:minorTickMark val="none"/>
        <c:tickLblPos val="nextTo"/>
        <c:crossAx val="2010826927"/>
        <c:crosses val="autoZero"/>
        <c:auto val="1"/>
        <c:lblAlgn val="ctr"/>
        <c:lblOffset val="100"/>
        <c:noMultiLvlLbl val="0"/>
      </c:catAx>
      <c:valAx>
        <c:axId val="2010826927"/>
        <c:scaling>
          <c:orientation val="minMax"/>
        </c:scaling>
        <c:delete val="1"/>
        <c:axPos val="l"/>
        <c:numFmt formatCode="General" sourceLinked="1"/>
        <c:majorTickMark val="none"/>
        <c:minorTickMark val="none"/>
        <c:tickLblPos val="nextTo"/>
        <c:crossAx val="2010820687"/>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8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[Golu kumar.xlsx]Pivot Report!PivotTable3</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0758290024862662E-2"/>
          <c:y val="5.3369596643514629E-2"/>
          <c:w val="0.97827757326279297"/>
          <c:h val="0.94663040335648552"/>
        </c:manualLayout>
      </c:layout>
      <c:areaChart>
        <c:grouping val="standard"/>
        <c:varyColors val="0"/>
        <c:ser>
          <c:idx val="0"/>
          <c:order val="0"/>
          <c:tx>
            <c:strRef>
              <c:f>'Pivot Report'!$G$3</c:f>
              <c:strCache>
                <c:ptCount val="1"/>
                <c:pt idx="0">
                  <c:v>Total</c:v>
                </c:pt>
              </c:strCache>
            </c:strRef>
          </c:tx>
          <c:spPr>
            <a:solidFill>
              <a:schemeClr val="accent1"/>
            </a:solidFill>
            <a:ln>
              <a:noFill/>
            </a:ln>
            <a:effectLst/>
          </c:spPr>
          <c:cat>
            <c:strRef>
              <c:f>'Pivot Report'!$F$4:$F$34</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Report'!$G$4:$G$34</c:f>
              <c:numCache>
                <c:formatCode>0.00</c:formatCode>
                <c:ptCount val="30"/>
                <c:pt idx="0">
                  <c:v>40.473684210526315</c:v>
                </c:pt>
                <c:pt idx="1">
                  <c:v>29.46153846153846</c:v>
                </c:pt>
                <c:pt idx="2">
                  <c:v>33.928571428571431</c:v>
                </c:pt>
                <c:pt idx="3">
                  <c:v>32.222222222222221</c:v>
                </c:pt>
                <c:pt idx="4">
                  <c:v>35.736842105263158</c:v>
                </c:pt>
                <c:pt idx="5">
                  <c:v>30.142857142857142</c:v>
                </c:pt>
                <c:pt idx="6">
                  <c:v>33.81818181818182</c:v>
                </c:pt>
                <c:pt idx="7">
                  <c:v>31.681818181818183</c:v>
                </c:pt>
                <c:pt idx="8">
                  <c:v>36.416666666666664</c:v>
                </c:pt>
                <c:pt idx="9">
                  <c:v>33.692307692307693</c:v>
                </c:pt>
                <c:pt idx="10">
                  <c:v>39.117647058823529</c:v>
                </c:pt>
                <c:pt idx="11">
                  <c:v>36.93333333333333</c:v>
                </c:pt>
                <c:pt idx="12">
                  <c:v>29.923076923076923</c:v>
                </c:pt>
                <c:pt idx="13">
                  <c:v>31.666666666666668</c:v>
                </c:pt>
                <c:pt idx="14">
                  <c:v>40.25</c:v>
                </c:pt>
                <c:pt idx="15">
                  <c:v>30</c:v>
                </c:pt>
                <c:pt idx="16">
                  <c:v>35</c:v>
                </c:pt>
                <c:pt idx="17">
                  <c:v>41.85</c:v>
                </c:pt>
                <c:pt idx="18">
                  <c:v>33.277777777777779</c:v>
                </c:pt>
                <c:pt idx="19">
                  <c:v>32.9375</c:v>
                </c:pt>
                <c:pt idx="20">
                  <c:v>33.266666666666666</c:v>
                </c:pt>
                <c:pt idx="21">
                  <c:v>34.444444444444443</c:v>
                </c:pt>
                <c:pt idx="22">
                  <c:v>43.416666666666664</c:v>
                </c:pt>
                <c:pt idx="23">
                  <c:v>36.357142857142854</c:v>
                </c:pt>
                <c:pt idx="24">
                  <c:v>40.611111111111114</c:v>
                </c:pt>
                <c:pt idx="25">
                  <c:v>29.875</c:v>
                </c:pt>
                <c:pt idx="26">
                  <c:v>33.5</c:v>
                </c:pt>
                <c:pt idx="27">
                  <c:v>32.5625</c:v>
                </c:pt>
                <c:pt idx="28">
                  <c:v>38.571428571428569</c:v>
                </c:pt>
                <c:pt idx="29">
                  <c:v>32.714285714285715</c:v>
                </c:pt>
              </c:numCache>
            </c:numRef>
          </c:val>
          <c:extLst>
            <c:ext xmlns:c16="http://schemas.microsoft.com/office/drawing/2014/chart" uri="{C3380CC4-5D6E-409C-BE32-E72D297353CC}">
              <c16:uniqueId val="{00000000-931E-41B0-B47A-393DA5D0B55F}"/>
            </c:ext>
          </c:extLst>
        </c:ser>
        <c:dLbls>
          <c:showLegendKey val="0"/>
          <c:showVal val="0"/>
          <c:showCatName val="0"/>
          <c:showSerName val="0"/>
          <c:showPercent val="0"/>
          <c:showBubbleSize val="0"/>
        </c:dLbls>
        <c:axId val="1380760799"/>
        <c:axId val="1380744959"/>
      </c:areaChart>
      <c:catAx>
        <c:axId val="1380760799"/>
        <c:scaling>
          <c:orientation val="minMax"/>
        </c:scaling>
        <c:delete val="1"/>
        <c:axPos val="b"/>
        <c:numFmt formatCode="General" sourceLinked="1"/>
        <c:majorTickMark val="out"/>
        <c:minorTickMark val="none"/>
        <c:tickLblPos val="nextTo"/>
        <c:crossAx val="1380744959"/>
        <c:crosses val="autoZero"/>
        <c:auto val="1"/>
        <c:lblAlgn val="ctr"/>
        <c:lblOffset val="100"/>
        <c:noMultiLvlLbl val="0"/>
      </c:catAx>
      <c:valAx>
        <c:axId val="1380744959"/>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38076079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[Golu kumar.xlsx]Pivot Report!PivotTable6</c:name>
    <c:fmtId val="4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1111111111111112E-2"/>
          <c:y val="2.7777777777777776E-2"/>
          <c:w val="0.98055555555555551"/>
          <c:h val="0.95370370370370372"/>
        </c:manualLayout>
      </c:layout>
      <c:areaChart>
        <c:grouping val="standard"/>
        <c:varyColors val="0"/>
        <c:ser>
          <c:idx val="0"/>
          <c:order val="0"/>
          <c:tx>
            <c:strRef>
              <c:f>'Pivot Report'!$J$3</c:f>
              <c:strCache>
                <c:ptCount val="1"/>
                <c:pt idx="0">
                  <c:v>Total</c:v>
                </c:pt>
              </c:strCache>
            </c:strRef>
          </c:tx>
          <c:spPr>
            <a:solidFill>
              <a:schemeClr val="accent1"/>
            </a:solidFill>
            <a:ln>
              <a:noFill/>
            </a:ln>
            <a:effectLst/>
          </c:spPr>
          <c:cat>
            <c:strRef>
              <c:f>'Pivot Report'!$I$4:$I$34</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Report'!$J$4:$J$34</c:f>
              <c:numCache>
                <c:formatCode>0.00</c:formatCode>
                <c:ptCount val="30"/>
                <c:pt idx="0">
                  <c:v>3.8</c:v>
                </c:pt>
                <c:pt idx="1">
                  <c:v>7.75</c:v>
                </c:pt>
                <c:pt idx="2">
                  <c:v>4.5999999999999996</c:v>
                </c:pt>
                <c:pt idx="3">
                  <c:v>6</c:v>
                </c:pt>
                <c:pt idx="4">
                  <c:v>5.5714285714285712</c:v>
                </c:pt>
                <c:pt idx="5">
                  <c:v>2</c:v>
                </c:pt>
                <c:pt idx="6">
                  <c:v>8</c:v>
                </c:pt>
                <c:pt idx="7">
                  <c:v>8</c:v>
                </c:pt>
                <c:pt idx="8">
                  <c:v>5.25</c:v>
                </c:pt>
                <c:pt idx="9">
                  <c:v>6</c:v>
                </c:pt>
                <c:pt idx="10">
                  <c:v>6.5</c:v>
                </c:pt>
                <c:pt idx="11">
                  <c:v>5.75</c:v>
                </c:pt>
                <c:pt idx="12">
                  <c:v>5.6</c:v>
                </c:pt>
                <c:pt idx="13">
                  <c:v>6.5</c:v>
                </c:pt>
                <c:pt idx="14">
                  <c:v>5.666666666666667</c:v>
                </c:pt>
                <c:pt idx="15">
                  <c:v>5.666666666666667</c:v>
                </c:pt>
                <c:pt idx="16">
                  <c:v>5.8</c:v>
                </c:pt>
                <c:pt idx="17">
                  <c:v>4.666666666666667</c:v>
                </c:pt>
                <c:pt idx="18">
                  <c:v>4.833333333333333</c:v>
                </c:pt>
                <c:pt idx="19">
                  <c:v>2.3333333333333335</c:v>
                </c:pt>
                <c:pt idx="20">
                  <c:v>4.5</c:v>
                </c:pt>
                <c:pt idx="21">
                  <c:v>6.666666666666667</c:v>
                </c:pt>
                <c:pt idx="22">
                  <c:v>7.5</c:v>
                </c:pt>
                <c:pt idx="23">
                  <c:v>5.2857142857142856</c:v>
                </c:pt>
                <c:pt idx="24">
                  <c:v>2.875</c:v>
                </c:pt>
                <c:pt idx="25">
                  <c:v>6.25</c:v>
                </c:pt>
                <c:pt idx="26">
                  <c:v>6.125</c:v>
                </c:pt>
                <c:pt idx="27">
                  <c:v>5.75</c:v>
                </c:pt>
                <c:pt idx="28">
                  <c:v>5.375</c:v>
                </c:pt>
                <c:pt idx="29">
                  <c:v>5.6</c:v>
                </c:pt>
              </c:numCache>
            </c:numRef>
          </c:val>
          <c:extLst>
            <c:ext xmlns:c16="http://schemas.microsoft.com/office/drawing/2014/chart" uri="{C3380CC4-5D6E-409C-BE32-E72D297353CC}">
              <c16:uniqueId val="{00000000-0B44-4A6D-91F2-0BE2836AB2C7}"/>
            </c:ext>
          </c:extLst>
        </c:ser>
        <c:dLbls>
          <c:showLegendKey val="0"/>
          <c:showVal val="0"/>
          <c:showCatName val="0"/>
          <c:showSerName val="0"/>
          <c:showPercent val="0"/>
          <c:showBubbleSize val="0"/>
        </c:dLbls>
        <c:axId val="1380706559"/>
        <c:axId val="1380726239"/>
      </c:areaChart>
      <c:catAx>
        <c:axId val="1380706559"/>
        <c:scaling>
          <c:orientation val="minMax"/>
        </c:scaling>
        <c:delete val="1"/>
        <c:axPos val="b"/>
        <c:numFmt formatCode="General" sourceLinked="1"/>
        <c:majorTickMark val="out"/>
        <c:minorTickMark val="none"/>
        <c:tickLblPos val="nextTo"/>
        <c:crossAx val="1380726239"/>
        <c:crosses val="autoZero"/>
        <c:auto val="1"/>
        <c:lblAlgn val="ctr"/>
        <c:lblOffset val="100"/>
        <c:noMultiLvlLbl val="0"/>
      </c:catAx>
      <c:valAx>
        <c:axId val="1380726239"/>
        <c:scaling>
          <c:orientation val="minMax"/>
        </c:scaling>
        <c:delete val="1"/>
        <c:axPos val="l"/>
        <c:numFmt formatCode="0.00" sourceLinked="1"/>
        <c:majorTickMark val="none"/>
        <c:minorTickMark val="none"/>
        <c:tickLblPos val="nextTo"/>
        <c:crossAx val="138070655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[Golu kumar.xlsx]Pivot Report!PivotTable10</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Report'!$B$48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Report'!$A$49:$A$57</c:f>
              <c:strCache>
                <c:ptCount val="8"/>
                <c:pt idx="0">
                  <c:v>0-09</c:v>
                </c:pt>
                <c:pt idx="1">
                  <c:v>10-19</c:v>
                </c:pt>
                <c:pt idx="2">
                  <c:v>20-29</c:v>
                </c:pt>
                <c:pt idx="3">
                  <c:v>30-39</c:v>
                </c:pt>
                <c:pt idx="4">
                  <c:v>40-49</c:v>
                </c:pt>
                <c:pt idx="5">
                  <c:v>50-59</c:v>
                </c:pt>
                <c:pt idx="6">
                  <c:v>60-69</c:v>
                </c:pt>
                <c:pt idx="7">
                  <c:v>70-79</c:v>
                </c:pt>
              </c:strCache>
            </c:strRef>
          </c:cat>
          <c:val>
            <c:numRef>
              <c:f>'Pivot Report'!$B$49:$B$57</c:f>
              <c:numCache>
                <c:formatCode>0</c:formatCode>
                <c:ptCount val="8"/>
                <c:pt idx="0">
                  <c:v>70</c:v>
                </c:pt>
                <c:pt idx="1">
                  <c:v>67</c:v>
                </c:pt>
                <c:pt idx="2">
                  <c:v>64</c:v>
                </c:pt>
                <c:pt idx="3">
                  <c:v>60</c:v>
                </c:pt>
                <c:pt idx="4">
                  <c:v>42</c:v>
                </c:pt>
                <c:pt idx="5">
                  <c:v>53</c:v>
                </c:pt>
                <c:pt idx="6">
                  <c:v>71</c:v>
                </c:pt>
                <c:pt idx="7">
                  <c:v>52</c:v>
                </c:pt>
              </c:numCache>
            </c:numRef>
          </c:val>
          <c:extLst>
            <c:ext xmlns:c16="http://schemas.microsoft.com/office/drawing/2014/chart" uri="{C3380CC4-5D6E-409C-BE32-E72D297353CC}">
              <c16:uniqueId val="{00000000-DD5B-46CD-B6A9-05D03E50959B}"/>
            </c:ext>
          </c:extLst>
        </c:ser>
        <c:dLbls>
          <c:showLegendKey val="0"/>
          <c:showVal val="0"/>
          <c:showCatName val="0"/>
          <c:showSerName val="0"/>
          <c:showPercent val="0"/>
          <c:showBubbleSize val="0"/>
        </c:dLbls>
        <c:gapWidth val="219"/>
        <c:overlap val="-27"/>
        <c:axId val="43408383"/>
        <c:axId val="43416063"/>
      </c:barChart>
      <c:catAx>
        <c:axId val="43408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16063"/>
        <c:crosses val="autoZero"/>
        <c:auto val="1"/>
        <c:lblAlgn val="ctr"/>
        <c:lblOffset val="100"/>
        <c:noMultiLvlLbl val="0"/>
      </c:catAx>
      <c:valAx>
        <c:axId val="43416063"/>
        <c:scaling>
          <c:orientation val="minMax"/>
        </c:scaling>
        <c:delete val="1"/>
        <c:axPos val="l"/>
        <c:numFmt formatCode="0" sourceLinked="1"/>
        <c:majorTickMark val="none"/>
        <c:minorTickMark val="none"/>
        <c:tickLblPos val="nextTo"/>
        <c:crossAx val="4340838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[Golu kumar.xlsx]Pivot Report!PivotTable11</c:name>
    <c:fmtId val="2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2"/>
          </a:solidFill>
          <a:ln>
            <a:noFill/>
          </a:ln>
          <a:effectLst/>
        </c:spPr>
      </c:pivotFmt>
    </c:pivotFmts>
    <c:plotArea>
      <c:layout>
        <c:manualLayout>
          <c:layoutTarget val="inner"/>
          <c:xMode val="edge"/>
          <c:yMode val="edge"/>
          <c:x val="0.13944023457868612"/>
          <c:y val="0.18720522475773074"/>
          <c:w val="0.69219770471217967"/>
          <c:h val="0.62995114555701015"/>
        </c:manualLayout>
      </c:layout>
      <c:pieChart>
        <c:varyColors val="1"/>
        <c:ser>
          <c:idx val="0"/>
          <c:order val="0"/>
          <c:tx>
            <c:strRef>
              <c:f>'Pivot Report'!$B$60</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E763-45B7-A977-65DD1C7A2CF3}"/>
              </c:ext>
            </c:extLst>
          </c:dPt>
          <c:dPt>
            <c:idx val="1"/>
            <c:bubble3D val="0"/>
            <c:spPr>
              <a:solidFill>
                <a:schemeClr val="accent2"/>
              </a:solidFill>
              <a:ln>
                <a:noFill/>
              </a:ln>
              <a:effectLst/>
            </c:spPr>
            <c:extLst>
              <c:ext xmlns:c16="http://schemas.microsoft.com/office/drawing/2014/chart" uri="{C3380CC4-5D6E-409C-BE32-E72D297353CC}">
                <c16:uniqueId val="{00000003-E763-45B7-A977-65DD1C7A2CF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Report'!$A$61:$A$63</c:f>
              <c:strCache>
                <c:ptCount val="2"/>
                <c:pt idx="0">
                  <c:v>Dealy</c:v>
                </c:pt>
                <c:pt idx="1">
                  <c:v>Onetime</c:v>
                </c:pt>
              </c:strCache>
            </c:strRef>
          </c:cat>
          <c:val>
            <c:numRef>
              <c:f>'Pivot Report'!$B$61:$B$63</c:f>
              <c:numCache>
                <c:formatCode>0</c:formatCode>
                <c:ptCount val="2"/>
                <c:pt idx="0">
                  <c:v>273</c:v>
                </c:pt>
                <c:pt idx="1">
                  <c:v>206</c:v>
                </c:pt>
              </c:numCache>
            </c:numRef>
          </c:val>
          <c:extLst>
            <c:ext xmlns:c16="http://schemas.microsoft.com/office/drawing/2014/chart" uri="{C3380CC4-5D6E-409C-BE32-E72D297353CC}">
              <c16:uniqueId val="{00000004-E763-45B7-A977-65DD1C7A2CF3}"/>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4.5420671024235762E-2"/>
          <c:y val="6.8790841759538784E-2"/>
          <c:w val="0.88091435203154855"/>
          <c:h val="0.1192140565762613"/>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[Golu kumar.xlsx]Pivot Report!PivotTable12</c:name>
    <c:fmtId val="28"/>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4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3132633775242689"/>
          <c:y val="0.20535655436408348"/>
          <c:w val="0.72861430013384054"/>
          <c:h val="0.63620469659712187"/>
        </c:manualLayout>
      </c:layout>
      <c:doughnutChart>
        <c:varyColors val="1"/>
        <c:ser>
          <c:idx val="0"/>
          <c:order val="0"/>
          <c:tx>
            <c:strRef>
              <c:f>'Pivot Report'!$B$66</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5440-40D7-87E7-683739C17518}"/>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5440-40D7-87E7-683739C17518}"/>
              </c:ext>
            </c:extLst>
          </c:dPt>
          <c:dLbls>
            <c:spPr>
              <a:noFill/>
              <a:ln>
                <a:noFill/>
              </a:ln>
              <a:effectLst/>
            </c:spPr>
            <c:txPr>
              <a:bodyPr rot="0" spcFirstLastPara="1" vertOverflow="ellipsis" vert="horz" wrap="square" lIns="38100" tIns="19050" rIns="38100" bIns="19050" anchor="ctr" anchorCtr="1">
                <a:spAutoFit/>
              </a:bodyPr>
              <a:lstStyle/>
              <a:p>
                <a:pPr>
                  <a:defRPr sz="4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Report'!$A$67:$A$69</c:f>
              <c:strCache>
                <c:ptCount val="2"/>
                <c:pt idx="0">
                  <c:v>Female</c:v>
                </c:pt>
                <c:pt idx="1">
                  <c:v>Male</c:v>
                </c:pt>
              </c:strCache>
            </c:strRef>
          </c:cat>
          <c:val>
            <c:numRef>
              <c:f>'Pivot Report'!$B$67:$B$69</c:f>
              <c:numCache>
                <c:formatCode>0</c:formatCode>
                <c:ptCount val="2"/>
                <c:pt idx="0">
                  <c:v>235</c:v>
                </c:pt>
                <c:pt idx="1">
                  <c:v>244</c:v>
                </c:pt>
              </c:numCache>
            </c:numRef>
          </c:val>
          <c:extLst>
            <c:ext xmlns:c16="http://schemas.microsoft.com/office/drawing/2014/chart" uri="{C3380CC4-5D6E-409C-BE32-E72D297353CC}">
              <c16:uniqueId val="{00000004-5440-40D7-87E7-683739C17518}"/>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layout>
        <c:manualLayout>
          <c:xMode val="edge"/>
          <c:yMode val="edge"/>
          <c:x val="6.8362643785033081E-2"/>
          <c:y val="1.3337070622132307E-2"/>
          <c:w val="0.92030726033099519"/>
          <c:h val="0.10743594211242674"/>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[Golu kumar.xlsx]Pivot Report!PivotTable13</c:name>
    <c:fmtId val="3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Report'!$B$72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Report'!$A$73:$A$81</c:f>
              <c:strCache>
                <c:ptCount val="8"/>
                <c:pt idx="0">
                  <c:v>Renal</c:v>
                </c:pt>
                <c:pt idx="1">
                  <c:v>Neurology</c:v>
                </c:pt>
                <c:pt idx="2">
                  <c:v>Physiotherapy</c:v>
                </c:pt>
                <c:pt idx="3">
                  <c:v>Gastroenterology</c:v>
                </c:pt>
                <c:pt idx="4">
                  <c:v>Cardiology</c:v>
                </c:pt>
                <c:pt idx="5">
                  <c:v>Orthopedics</c:v>
                </c:pt>
                <c:pt idx="6">
                  <c:v>General Practice</c:v>
                </c:pt>
                <c:pt idx="7">
                  <c:v>None</c:v>
                </c:pt>
              </c:strCache>
            </c:strRef>
          </c:cat>
          <c:val>
            <c:numRef>
              <c:f>'Pivot Report'!$B$73:$B$81</c:f>
              <c:numCache>
                <c:formatCode>0</c:formatCode>
                <c:ptCount val="8"/>
                <c:pt idx="0">
                  <c:v>4</c:v>
                </c:pt>
                <c:pt idx="1">
                  <c:v>11</c:v>
                </c:pt>
                <c:pt idx="2">
                  <c:v>11</c:v>
                </c:pt>
                <c:pt idx="3">
                  <c:v>12</c:v>
                </c:pt>
                <c:pt idx="4">
                  <c:v>18</c:v>
                </c:pt>
                <c:pt idx="5">
                  <c:v>45</c:v>
                </c:pt>
                <c:pt idx="6">
                  <c:v>115</c:v>
                </c:pt>
                <c:pt idx="7">
                  <c:v>263</c:v>
                </c:pt>
              </c:numCache>
            </c:numRef>
          </c:val>
          <c:extLst>
            <c:ext xmlns:c16="http://schemas.microsoft.com/office/drawing/2014/chart" uri="{C3380CC4-5D6E-409C-BE32-E72D297353CC}">
              <c16:uniqueId val="{00000000-BE90-4BB6-B604-B257C5AF6D43}"/>
            </c:ext>
          </c:extLst>
        </c:ser>
        <c:dLbls>
          <c:showLegendKey val="0"/>
          <c:showVal val="0"/>
          <c:showCatName val="0"/>
          <c:showSerName val="0"/>
          <c:showPercent val="0"/>
          <c:showBubbleSize val="0"/>
        </c:dLbls>
        <c:gapWidth val="14"/>
        <c:axId val="43368543"/>
        <c:axId val="43371903"/>
      </c:barChart>
      <c:catAx>
        <c:axId val="43368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43371903"/>
        <c:crosses val="autoZero"/>
        <c:auto val="1"/>
        <c:lblAlgn val="ctr"/>
        <c:lblOffset val="100"/>
        <c:noMultiLvlLbl val="0"/>
      </c:catAx>
      <c:valAx>
        <c:axId val="43371903"/>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6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[Golu kumar.xlsx]Pivot Report!PivotTable3</c:name>
    <c:fmtId val="3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0758290024862662E-2"/>
          <c:y val="5.3369596643514629E-2"/>
          <c:w val="0.97827757326279297"/>
          <c:h val="0.94663040335648552"/>
        </c:manualLayout>
      </c:layout>
      <c:areaChart>
        <c:grouping val="standard"/>
        <c:varyColors val="0"/>
        <c:ser>
          <c:idx val="0"/>
          <c:order val="0"/>
          <c:tx>
            <c:strRef>
              <c:f>'Pivot Report'!$G$3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errBars>
            <c:errDir val="y"/>
            <c:errBarType val="both"/>
            <c:errValType val="stdErr"/>
            <c:noEndCap val="0"/>
            <c:spPr>
              <a:noFill/>
              <a:ln w="9525">
                <a:solidFill>
                  <a:schemeClr val="accent1">
                    <a:lumMod val="60000"/>
                    <a:lumOff val="40000"/>
                  </a:schemeClr>
                </a:solidFill>
                <a:round/>
              </a:ln>
              <a:effectLst>
                <a:glow rad="25400">
                  <a:schemeClr val="lt1"/>
                </a:glow>
              </a:effectLst>
            </c:spPr>
          </c:errBars>
          <c:cat>
            <c:strRef>
              <c:f>'Pivot Report'!$F$4:$F$34</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Report'!$G$4:$G$34</c:f>
              <c:numCache>
                <c:formatCode>0.00</c:formatCode>
                <c:ptCount val="30"/>
                <c:pt idx="0">
                  <c:v>40.473684210526315</c:v>
                </c:pt>
                <c:pt idx="1">
                  <c:v>29.46153846153846</c:v>
                </c:pt>
                <c:pt idx="2">
                  <c:v>33.928571428571431</c:v>
                </c:pt>
                <c:pt idx="3">
                  <c:v>32.222222222222221</c:v>
                </c:pt>
                <c:pt idx="4">
                  <c:v>35.736842105263158</c:v>
                </c:pt>
                <c:pt idx="5">
                  <c:v>30.142857142857142</c:v>
                </c:pt>
                <c:pt idx="6">
                  <c:v>33.81818181818182</c:v>
                </c:pt>
                <c:pt idx="7">
                  <c:v>31.681818181818183</c:v>
                </c:pt>
                <c:pt idx="8">
                  <c:v>36.416666666666664</c:v>
                </c:pt>
                <c:pt idx="9">
                  <c:v>33.692307692307693</c:v>
                </c:pt>
                <c:pt idx="10">
                  <c:v>39.117647058823529</c:v>
                </c:pt>
                <c:pt idx="11">
                  <c:v>36.93333333333333</c:v>
                </c:pt>
                <c:pt idx="12">
                  <c:v>29.923076923076923</c:v>
                </c:pt>
                <c:pt idx="13">
                  <c:v>31.666666666666668</c:v>
                </c:pt>
                <c:pt idx="14">
                  <c:v>40.25</c:v>
                </c:pt>
                <c:pt idx="15">
                  <c:v>30</c:v>
                </c:pt>
                <c:pt idx="16">
                  <c:v>35</c:v>
                </c:pt>
                <c:pt idx="17">
                  <c:v>41.85</c:v>
                </c:pt>
                <c:pt idx="18">
                  <c:v>33.277777777777779</c:v>
                </c:pt>
                <c:pt idx="19">
                  <c:v>32.9375</c:v>
                </c:pt>
                <c:pt idx="20">
                  <c:v>33.266666666666666</c:v>
                </c:pt>
                <c:pt idx="21">
                  <c:v>34.444444444444443</c:v>
                </c:pt>
                <c:pt idx="22">
                  <c:v>43.416666666666664</c:v>
                </c:pt>
                <c:pt idx="23">
                  <c:v>36.357142857142854</c:v>
                </c:pt>
                <c:pt idx="24">
                  <c:v>40.611111111111114</c:v>
                </c:pt>
                <c:pt idx="25">
                  <c:v>29.875</c:v>
                </c:pt>
                <c:pt idx="26">
                  <c:v>33.5</c:v>
                </c:pt>
                <c:pt idx="27">
                  <c:v>32.5625</c:v>
                </c:pt>
                <c:pt idx="28">
                  <c:v>38.571428571428569</c:v>
                </c:pt>
                <c:pt idx="29">
                  <c:v>32.714285714285715</c:v>
                </c:pt>
              </c:numCache>
            </c:numRef>
          </c:val>
          <c:extLst>
            <c:ext xmlns:c16="http://schemas.microsoft.com/office/drawing/2014/chart" uri="{C3380CC4-5D6E-409C-BE32-E72D297353CC}">
              <c16:uniqueId val="{00000000-4068-43DD-B497-2ADABD5A5AC8}"/>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380760799"/>
        <c:axId val="1380744959"/>
      </c:areaChart>
      <c:catAx>
        <c:axId val="1380760799"/>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380744959"/>
        <c:crosses val="autoZero"/>
        <c:auto val="1"/>
        <c:lblAlgn val="ctr"/>
        <c:lblOffset val="100"/>
        <c:noMultiLvlLbl val="0"/>
      </c:catAx>
      <c:valAx>
        <c:axId val="1380744959"/>
        <c:scaling>
          <c:orientation val="minMax"/>
        </c:scaling>
        <c:delete val="1"/>
        <c:axPos val="l"/>
        <c:numFmt formatCode="0.00" sourceLinked="1"/>
        <c:majorTickMark val="out"/>
        <c:minorTickMark val="none"/>
        <c:tickLblPos val="nextTo"/>
        <c:crossAx val="138076079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[Golu kumar.xlsx]Pivot Report!PivotTable5</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Report'!$D$3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errBars>
            <c:errDir val="y"/>
            <c:errBarType val="both"/>
            <c:errValType val="stdErr"/>
            <c:noEndCap val="0"/>
            <c:spPr>
              <a:noFill/>
              <a:ln w="9525">
                <a:solidFill>
                  <a:schemeClr val="accent1">
                    <a:lumMod val="60000"/>
                    <a:lumOff val="40000"/>
                  </a:schemeClr>
                </a:solidFill>
                <a:round/>
              </a:ln>
              <a:effectLst>
                <a:glow rad="25400">
                  <a:schemeClr val="lt1"/>
                </a:glow>
              </a:effectLst>
            </c:spPr>
          </c:errBars>
          <c:cat>
            <c:strRef>
              <c:f>'Pivot Report'!$C$4:$C$34</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Report'!$D$4:$D$34</c:f>
              <c:numCache>
                <c:formatCode>General</c:formatCode>
                <c:ptCount val="30"/>
                <c:pt idx="0">
                  <c:v>19</c:v>
                </c:pt>
                <c:pt idx="1">
                  <c:v>13</c:v>
                </c:pt>
                <c:pt idx="2">
                  <c:v>14</c:v>
                </c:pt>
                <c:pt idx="3">
                  <c:v>9</c:v>
                </c:pt>
                <c:pt idx="4">
                  <c:v>19</c:v>
                </c:pt>
                <c:pt idx="5">
                  <c:v>14</c:v>
                </c:pt>
                <c:pt idx="6">
                  <c:v>11</c:v>
                </c:pt>
                <c:pt idx="7">
                  <c:v>22</c:v>
                </c:pt>
                <c:pt idx="8">
                  <c:v>12</c:v>
                </c:pt>
                <c:pt idx="9">
                  <c:v>13</c:v>
                </c:pt>
                <c:pt idx="10">
                  <c:v>17</c:v>
                </c:pt>
                <c:pt idx="11">
                  <c:v>30</c:v>
                </c:pt>
                <c:pt idx="12">
                  <c:v>13</c:v>
                </c:pt>
                <c:pt idx="13">
                  <c:v>21</c:v>
                </c:pt>
                <c:pt idx="14">
                  <c:v>12</c:v>
                </c:pt>
                <c:pt idx="15">
                  <c:v>17</c:v>
                </c:pt>
                <c:pt idx="16">
                  <c:v>16</c:v>
                </c:pt>
                <c:pt idx="17">
                  <c:v>20</c:v>
                </c:pt>
                <c:pt idx="18">
                  <c:v>18</c:v>
                </c:pt>
                <c:pt idx="19">
                  <c:v>16</c:v>
                </c:pt>
                <c:pt idx="20">
                  <c:v>15</c:v>
                </c:pt>
                <c:pt idx="21">
                  <c:v>18</c:v>
                </c:pt>
                <c:pt idx="22">
                  <c:v>12</c:v>
                </c:pt>
                <c:pt idx="23">
                  <c:v>14</c:v>
                </c:pt>
                <c:pt idx="24">
                  <c:v>18</c:v>
                </c:pt>
                <c:pt idx="25">
                  <c:v>16</c:v>
                </c:pt>
                <c:pt idx="26">
                  <c:v>16</c:v>
                </c:pt>
                <c:pt idx="27">
                  <c:v>16</c:v>
                </c:pt>
                <c:pt idx="28">
                  <c:v>14</c:v>
                </c:pt>
                <c:pt idx="29">
                  <c:v>14</c:v>
                </c:pt>
              </c:numCache>
            </c:numRef>
          </c:val>
          <c:extLst>
            <c:ext xmlns:c16="http://schemas.microsoft.com/office/drawing/2014/chart" uri="{C3380CC4-5D6E-409C-BE32-E72D297353CC}">
              <c16:uniqueId val="{00000000-B53C-487D-B5C3-574F7D6C9C8C}"/>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010820687"/>
        <c:axId val="2010826927"/>
      </c:areaChart>
      <c:catAx>
        <c:axId val="2010820687"/>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r>
                  <a:rPr lang="en-IN"/>
                  <a:t>Showing </a:t>
                </a:r>
                <a:r>
                  <a:rPr lang="en-IN" baseline="0"/>
                  <a:t> a daily trend with an area sparkline to spot patterns like busy days or seasonal trends.</a:t>
                </a:r>
                <a:endParaRPr lang="en-IN"/>
              </a:p>
            </c:rich>
          </c:tx>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010826927"/>
        <c:crosses val="autoZero"/>
        <c:auto val="1"/>
        <c:lblAlgn val="ctr"/>
        <c:lblOffset val="100"/>
        <c:noMultiLvlLbl val="0"/>
      </c:catAx>
      <c:valAx>
        <c:axId val="2010826927"/>
        <c:scaling>
          <c:orientation val="minMax"/>
        </c:scaling>
        <c:delete val="1"/>
        <c:axPos val="l"/>
        <c:numFmt formatCode="General" sourceLinked="1"/>
        <c:majorTickMark val="out"/>
        <c:minorTickMark val="none"/>
        <c:tickLblPos val="nextTo"/>
        <c:crossAx val="201082068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[Golu kumar.xlsx]Pivot Report!PivotTable6</c:name>
    <c:fmtId val="5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Report'!$J$3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errBars>
            <c:errDir val="y"/>
            <c:errBarType val="both"/>
            <c:errValType val="stdErr"/>
            <c:noEndCap val="0"/>
            <c:spPr>
              <a:noFill/>
              <a:ln w="9525">
                <a:solidFill>
                  <a:schemeClr val="accent1">
                    <a:lumMod val="60000"/>
                    <a:lumOff val="40000"/>
                  </a:schemeClr>
                </a:solidFill>
                <a:round/>
              </a:ln>
              <a:effectLst>
                <a:glow rad="25400">
                  <a:schemeClr val="lt1"/>
                </a:glow>
              </a:effectLst>
            </c:spPr>
          </c:errBars>
          <c:cat>
            <c:strRef>
              <c:f>'Pivot Report'!$I$4:$I$34</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Report'!$J$4:$J$34</c:f>
              <c:numCache>
                <c:formatCode>0.00</c:formatCode>
                <c:ptCount val="30"/>
                <c:pt idx="0">
                  <c:v>3.8</c:v>
                </c:pt>
                <c:pt idx="1">
                  <c:v>7.75</c:v>
                </c:pt>
                <c:pt idx="2">
                  <c:v>4.5999999999999996</c:v>
                </c:pt>
                <c:pt idx="3">
                  <c:v>6</c:v>
                </c:pt>
                <c:pt idx="4">
                  <c:v>5.5714285714285712</c:v>
                </c:pt>
                <c:pt idx="5">
                  <c:v>2</c:v>
                </c:pt>
                <c:pt idx="6">
                  <c:v>8</c:v>
                </c:pt>
                <c:pt idx="7">
                  <c:v>8</c:v>
                </c:pt>
                <c:pt idx="8">
                  <c:v>5.25</c:v>
                </c:pt>
                <c:pt idx="9">
                  <c:v>6</c:v>
                </c:pt>
                <c:pt idx="10">
                  <c:v>6.5</c:v>
                </c:pt>
                <c:pt idx="11">
                  <c:v>5.75</c:v>
                </c:pt>
                <c:pt idx="12">
                  <c:v>5.6</c:v>
                </c:pt>
                <c:pt idx="13">
                  <c:v>6.5</c:v>
                </c:pt>
                <c:pt idx="14">
                  <c:v>5.666666666666667</c:v>
                </c:pt>
                <c:pt idx="15">
                  <c:v>5.666666666666667</c:v>
                </c:pt>
                <c:pt idx="16">
                  <c:v>5.8</c:v>
                </c:pt>
                <c:pt idx="17">
                  <c:v>4.666666666666667</c:v>
                </c:pt>
                <c:pt idx="18">
                  <c:v>4.833333333333333</c:v>
                </c:pt>
                <c:pt idx="19">
                  <c:v>2.3333333333333335</c:v>
                </c:pt>
                <c:pt idx="20">
                  <c:v>4.5</c:v>
                </c:pt>
                <c:pt idx="21">
                  <c:v>6.666666666666667</c:v>
                </c:pt>
                <c:pt idx="22">
                  <c:v>7.5</c:v>
                </c:pt>
                <c:pt idx="23">
                  <c:v>5.2857142857142856</c:v>
                </c:pt>
                <c:pt idx="24">
                  <c:v>2.875</c:v>
                </c:pt>
                <c:pt idx="25">
                  <c:v>6.25</c:v>
                </c:pt>
                <c:pt idx="26">
                  <c:v>6.125</c:v>
                </c:pt>
                <c:pt idx="27">
                  <c:v>5.75</c:v>
                </c:pt>
                <c:pt idx="28">
                  <c:v>5.375</c:v>
                </c:pt>
                <c:pt idx="29">
                  <c:v>5.6</c:v>
                </c:pt>
              </c:numCache>
            </c:numRef>
          </c:val>
          <c:extLst>
            <c:ext xmlns:c16="http://schemas.microsoft.com/office/drawing/2014/chart" uri="{C3380CC4-5D6E-409C-BE32-E72D297353CC}">
              <c16:uniqueId val="{00000000-3A7D-4857-9AA0-B715E03DFA2A}"/>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380706559"/>
        <c:axId val="1380726239"/>
      </c:areaChart>
      <c:catAx>
        <c:axId val="1380706559"/>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380726239"/>
        <c:crosses val="autoZero"/>
        <c:auto val="1"/>
        <c:lblAlgn val="ctr"/>
        <c:lblOffset val="100"/>
        <c:noMultiLvlLbl val="0"/>
      </c:catAx>
      <c:valAx>
        <c:axId val="1380726239"/>
        <c:scaling>
          <c:orientation val="minMax"/>
        </c:scaling>
        <c:delete val="1"/>
        <c:axPos val="l"/>
        <c:numFmt formatCode="0.00" sourceLinked="1"/>
        <c:majorTickMark val="out"/>
        <c:minorTickMark val="none"/>
        <c:tickLblPos val="nextTo"/>
        <c:crossAx val="138070655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No of patient'!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sfaction score daily trends'!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Average wait time daily trend'!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5.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1.svg"/></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2" Type="http://schemas.openxmlformats.org/officeDocument/2006/relationships/image" Target="../media/image11.svg"/><Relationship Id="rId1" Type="http://schemas.openxmlformats.org/officeDocument/2006/relationships/image" Target="../media/image10.png"/></Relationships>
</file>

<file path=xl/drawings/_rels/drawing8.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 Id="rId4" Type="http://schemas.openxmlformats.org/officeDocument/2006/relationships/chart" Target="../charts/chart11.xml"/></Relationships>
</file>

<file path=xl/drawings/_rels/drawing9.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3</xdr:col>
      <xdr:colOff>9180</xdr:colOff>
      <xdr:row>42</xdr:row>
      <xdr:rowOff>153736</xdr:rowOff>
    </xdr:from>
    <xdr:to>
      <xdr:col>4</xdr:col>
      <xdr:colOff>2807</xdr:colOff>
      <xdr:row>45</xdr:row>
      <xdr:rowOff>13368</xdr:rowOff>
    </xdr:to>
    <xdr:graphicFrame macro="">
      <xdr:nvGraphicFramePr>
        <xdr:cNvPr id="4" name="Chart 3">
          <a:extLst>
            <a:ext uri="{FF2B5EF4-FFF2-40B4-BE49-F238E27FC236}">
              <a16:creationId xmlns:a16="http://schemas.microsoft.com/office/drawing/2014/main" id="{D6A9CB6E-8842-AC86-C1E4-4062402B54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27214</xdr:colOff>
      <xdr:row>0</xdr:row>
      <xdr:rowOff>22679</xdr:rowOff>
    </xdr:from>
    <xdr:to>
      <xdr:col>5</xdr:col>
      <xdr:colOff>517070</xdr:colOff>
      <xdr:row>2</xdr:row>
      <xdr:rowOff>36286</xdr:rowOff>
    </xdr:to>
    <xdr:sp macro="" textlink="">
      <xdr:nvSpPr>
        <xdr:cNvPr id="2" name="Rectangle: Rounded Corners 1">
          <a:extLst>
            <a:ext uri="{FF2B5EF4-FFF2-40B4-BE49-F238E27FC236}">
              <a16:creationId xmlns:a16="http://schemas.microsoft.com/office/drawing/2014/main" id="{48EBAB6D-345A-5D90-D9CF-3C95B0B66AC1}"/>
            </a:ext>
          </a:extLst>
        </xdr:cNvPr>
        <xdr:cNvSpPr/>
      </xdr:nvSpPr>
      <xdr:spPr>
        <a:xfrm>
          <a:off x="27214" y="22679"/>
          <a:ext cx="3542312" cy="379011"/>
        </a:xfrm>
        <a:prstGeom prst="roundRect">
          <a:avLst>
            <a:gd name="adj" fmla="val 28715"/>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548823</xdr:colOff>
      <xdr:row>0</xdr:row>
      <xdr:rowOff>18143</xdr:rowOff>
    </xdr:from>
    <xdr:to>
      <xdr:col>7</xdr:col>
      <xdr:colOff>494394</xdr:colOff>
      <xdr:row>2</xdr:row>
      <xdr:rowOff>31750</xdr:rowOff>
    </xdr:to>
    <xdr:sp macro="" textlink="">
      <xdr:nvSpPr>
        <xdr:cNvPr id="3" name="Rectangle: Rounded Corners 2">
          <a:extLst>
            <a:ext uri="{FF2B5EF4-FFF2-40B4-BE49-F238E27FC236}">
              <a16:creationId xmlns:a16="http://schemas.microsoft.com/office/drawing/2014/main" id="{9AC4CBE6-CDAA-676C-4416-90C34E4A105C}"/>
            </a:ext>
          </a:extLst>
        </xdr:cNvPr>
        <xdr:cNvSpPr/>
      </xdr:nvSpPr>
      <xdr:spPr>
        <a:xfrm>
          <a:off x="3587752" y="18143"/>
          <a:ext cx="1161142" cy="376464"/>
        </a:xfrm>
        <a:prstGeom prst="roundRect">
          <a:avLst>
            <a:gd name="adj" fmla="val 28715"/>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548823</xdr:colOff>
      <xdr:row>0</xdr:row>
      <xdr:rowOff>0</xdr:rowOff>
    </xdr:from>
    <xdr:to>
      <xdr:col>9</xdr:col>
      <xdr:colOff>426357</xdr:colOff>
      <xdr:row>6</xdr:row>
      <xdr:rowOff>81643</xdr:rowOff>
    </xdr:to>
    <xdr:sp macro="" textlink="">
      <xdr:nvSpPr>
        <xdr:cNvPr id="4" name="Rectangle: Rounded Corners 3">
          <a:extLst>
            <a:ext uri="{FF2B5EF4-FFF2-40B4-BE49-F238E27FC236}">
              <a16:creationId xmlns:a16="http://schemas.microsoft.com/office/drawing/2014/main" id="{DAA73538-E299-85B3-1567-D134410BF5B0}"/>
            </a:ext>
          </a:extLst>
        </xdr:cNvPr>
        <xdr:cNvSpPr/>
      </xdr:nvSpPr>
      <xdr:spPr>
        <a:xfrm>
          <a:off x="4803323" y="0"/>
          <a:ext cx="1093105" cy="1170214"/>
        </a:xfrm>
        <a:prstGeom prst="roundRect">
          <a:avLst>
            <a:gd name="adj" fmla="val 13437"/>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449036</xdr:colOff>
      <xdr:row>0</xdr:row>
      <xdr:rowOff>0</xdr:rowOff>
    </xdr:from>
    <xdr:to>
      <xdr:col>11</xdr:col>
      <xdr:colOff>317500</xdr:colOff>
      <xdr:row>6</xdr:row>
      <xdr:rowOff>86179</xdr:rowOff>
    </xdr:to>
    <xdr:sp macro="" textlink="">
      <xdr:nvSpPr>
        <xdr:cNvPr id="5" name="Rectangle: Rounded Corners 4">
          <a:extLst>
            <a:ext uri="{FF2B5EF4-FFF2-40B4-BE49-F238E27FC236}">
              <a16:creationId xmlns:a16="http://schemas.microsoft.com/office/drawing/2014/main" id="{5A90E0CA-00C6-475F-1931-C4AF58F7F695}"/>
            </a:ext>
          </a:extLst>
        </xdr:cNvPr>
        <xdr:cNvSpPr/>
      </xdr:nvSpPr>
      <xdr:spPr>
        <a:xfrm>
          <a:off x="5919107" y="0"/>
          <a:ext cx="1084036" cy="1174750"/>
        </a:xfrm>
        <a:prstGeom prst="roundRect">
          <a:avLst>
            <a:gd name="adj" fmla="val 13437"/>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27215</xdr:colOff>
      <xdr:row>2</xdr:row>
      <xdr:rowOff>31750</xdr:rowOff>
    </xdr:from>
    <xdr:to>
      <xdr:col>1</xdr:col>
      <xdr:colOff>471715</xdr:colOff>
      <xdr:row>15</xdr:row>
      <xdr:rowOff>136071</xdr:rowOff>
    </xdr:to>
    <xdr:sp macro="" textlink="">
      <xdr:nvSpPr>
        <xdr:cNvPr id="8" name="Rectangle: Rounded Corners 7">
          <a:extLst>
            <a:ext uri="{FF2B5EF4-FFF2-40B4-BE49-F238E27FC236}">
              <a16:creationId xmlns:a16="http://schemas.microsoft.com/office/drawing/2014/main" id="{C5D25748-8E69-CA27-F72D-C5E3006F56C1}"/>
            </a:ext>
          </a:extLst>
        </xdr:cNvPr>
        <xdr:cNvSpPr/>
      </xdr:nvSpPr>
      <xdr:spPr>
        <a:xfrm>
          <a:off x="27215" y="397154"/>
          <a:ext cx="1054991" cy="2479443"/>
        </a:xfrm>
        <a:prstGeom prst="roundRect">
          <a:avLst>
            <a:gd name="adj" fmla="val 5892"/>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503467</xdr:colOff>
      <xdr:row>2</xdr:row>
      <xdr:rowOff>63500</xdr:rowOff>
    </xdr:from>
    <xdr:to>
      <xdr:col>3</xdr:col>
      <xdr:colOff>467333</xdr:colOff>
      <xdr:row>6</xdr:row>
      <xdr:rowOff>40822</xdr:rowOff>
    </xdr:to>
    <xdr:sp macro="" textlink="">
      <xdr:nvSpPr>
        <xdr:cNvPr id="10" name="Rectangle: Rounded Corners 9">
          <a:extLst>
            <a:ext uri="{FF2B5EF4-FFF2-40B4-BE49-F238E27FC236}">
              <a16:creationId xmlns:a16="http://schemas.microsoft.com/office/drawing/2014/main" id="{3A038008-195F-2224-CB60-9065958092D6}"/>
            </a:ext>
          </a:extLst>
        </xdr:cNvPr>
        <xdr:cNvSpPr/>
      </xdr:nvSpPr>
      <xdr:spPr>
        <a:xfrm>
          <a:off x="1111253" y="426357"/>
          <a:ext cx="1179437" cy="703036"/>
        </a:xfrm>
        <a:prstGeom prst="roundRect">
          <a:avLst>
            <a:gd name="adj" fmla="val 10633"/>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508003</xdr:colOff>
      <xdr:row>2</xdr:row>
      <xdr:rowOff>58965</xdr:rowOff>
    </xdr:from>
    <xdr:to>
      <xdr:col>5</xdr:col>
      <xdr:colOff>471868</xdr:colOff>
      <xdr:row>6</xdr:row>
      <xdr:rowOff>36287</xdr:rowOff>
    </xdr:to>
    <xdr:sp macro="" textlink="">
      <xdr:nvSpPr>
        <xdr:cNvPr id="11" name="Rectangle: Rounded Corners 10">
          <a:extLst>
            <a:ext uri="{FF2B5EF4-FFF2-40B4-BE49-F238E27FC236}">
              <a16:creationId xmlns:a16="http://schemas.microsoft.com/office/drawing/2014/main" id="{5527EE51-F4A2-0397-9526-C086029E6ABE}"/>
            </a:ext>
          </a:extLst>
        </xdr:cNvPr>
        <xdr:cNvSpPr/>
      </xdr:nvSpPr>
      <xdr:spPr>
        <a:xfrm>
          <a:off x="2331360" y="421822"/>
          <a:ext cx="1179437" cy="703036"/>
        </a:xfrm>
        <a:prstGeom prst="roundRect">
          <a:avLst>
            <a:gd name="adj" fmla="val 10633"/>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530529</xdr:colOff>
      <xdr:row>2</xdr:row>
      <xdr:rowOff>63500</xdr:rowOff>
    </xdr:from>
    <xdr:to>
      <xdr:col>7</xdr:col>
      <xdr:colOff>494395</xdr:colOff>
      <xdr:row>6</xdr:row>
      <xdr:rowOff>40822</xdr:rowOff>
    </xdr:to>
    <xdr:sp macro="" textlink="">
      <xdr:nvSpPr>
        <xdr:cNvPr id="12" name="Rectangle: Rounded Corners 11">
          <a:extLst>
            <a:ext uri="{FF2B5EF4-FFF2-40B4-BE49-F238E27FC236}">
              <a16:creationId xmlns:a16="http://schemas.microsoft.com/office/drawing/2014/main" id="{272E08D1-B4D6-983A-CDF1-5F8B1E4A263C}"/>
            </a:ext>
          </a:extLst>
        </xdr:cNvPr>
        <xdr:cNvSpPr/>
      </xdr:nvSpPr>
      <xdr:spPr>
        <a:xfrm>
          <a:off x="3569458" y="426357"/>
          <a:ext cx="1179437" cy="703036"/>
        </a:xfrm>
        <a:prstGeom prst="roundRect">
          <a:avLst>
            <a:gd name="adj" fmla="val 10633"/>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503468</xdr:colOff>
      <xdr:row>9</xdr:row>
      <xdr:rowOff>167822</xdr:rowOff>
    </xdr:from>
    <xdr:to>
      <xdr:col>7</xdr:col>
      <xdr:colOff>517072</xdr:colOff>
      <xdr:row>15</xdr:row>
      <xdr:rowOff>140607</xdr:rowOff>
    </xdr:to>
    <xdr:sp macro="" textlink="">
      <xdr:nvSpPr>
        <xdr:cNvPr id="16" name="Rectangle: Rounded Corners 15">
          <a:extLst>
            <a:ext uri="{FF2B5EF4-FFF2-40B4-BE49-F238E27FC236}">
              <a16:creationId xmlns:a16="http://schemas.microsoft.com/office/drawing/2014/main" id="{F6C44F21-3C12-D064-D860-D853AFDF04DC}"/>
            </a:ext>
          </a:extLst>
        </xdr:cNvPr>
        <xdr:cNvSpPr/>
      </xdr:nvSpPr>
      <xdr:spPr>
        <a:xfrm>
          <a:off x="1113068" y="1793422"/>
          <a:ext cx="3671204" cy="1056518"/>
        </a:xfrm>
        <a:prstGeom prst="roundRect">
          <a:avLst>
            <a:gd name="adj" fmla="val 10633"/>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576036</xdr:colOff>
      <xdr:row>6</xdr:row>
      <xdr:rowOff>122465</xdr:rowOff>
    </xdr:from>
    <xdr:to>
      <xdr:col>11</xdr:col>
      <xdr:colOff>317500</xdr:colOff>
      <xdr:row>15</xdr:row>
      <xdr:rowOff>136071</xdr:rowOff>
    </xdr:to>
    <xdr:sp macro="" textlink="">
      <xdr:nvSpPr>
        <xdr:cNvPr id="24" name="Rectangle: Rounded Corners 23">
          <a:extLst>
            <a:ext uri="{FF2B5EF4-FFF2-40B4-BE49-F238E27FC236}">
              <a16:creationId xmlns:a16="http://schemas.microsoft.com/office/drawing/2014/main" id="{AF002EB0-A37B-F60E-C1A9-E8B3F2ABE7CB}"/>
            </a:ext>
          </a:extLst>
        </xdr:cNvPr>
        <xdr:cNvSpPr/>
      </xdr:nvSpPr>
      <xdr:spPr>
        <a:xfrm>
          <a:off x="4830536" y="1211036"/>
          <a:ext cx="2172607" cy="1646464"/>
        </a:xfrm>
        <a:prstGeom prst="roundRect">
          <a:avLst>
            <a:gd name="adj" fmla="val 13437"/>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344713</xdr:colOff>
      <xdr:row>0</xdr:row>
      <xdr:rowOff>40822</xdr:rowOff>
    </xdr:from>
    <xdr:to>
      <xdr:col>5</xdr:col>
      <xdr:colOff>226786</xdr:colOff>
      <xdr:row>1</xdr:row>
      <xdr:rowOff>40821</xdr:rowOff>
    </xdr:to>
    <xdr:sp macro="" textlink="">
      <xdr:nvSpPr>
        <xdr:cNvPr id="28" name="TextBox 27">
          <a:extLst>
            <a:ext uri="{FF2B5EF4-FFF2-40B4-BE49-F238E27FC236}">
              <a16:creationId xmlns:a16="http://schemas.microsoft.com/office/drawing/2014/main" id="{4FE0C953-9A85-B0DF-3FD2-41009F20DECE}"/>
            </a:ext>
          </a:extLst>
        </xdr:cNvPr>
        <xdr:cNvSpPr txBox="1"/>
      </xdr:nvSpPr>
      <xdr:spPr>
        <a:xfrm>
          <a:off x="952499" y="40822"/>
          <a:ext cx="2313216" cy="1814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400"/>
            <a:t>Hospital</a:t>
          </a:r>
          <a:r>
            <a:rPr lang="en-IN" sz="1100"/>
            <a:t> Emergency Room  Dashboard</a:t>
          </a:r>
        </a:p>
      </xdr:txBody>
    </xdr:sp>
    <xdr:clientData/>
  </xdr:twoCellAnchor>
  <xdr:twoCellAnchor editAs="oneCell">
    <xdr:from>
      <xdr:col>0</xdr:col>
      <xdr:colOff>0</xdr:colOff>
      <xdr:row>0</xdr:row>
      <xdr:rowOff>0</xdr:rowOff>
    </xdr:from>
    <xdr:to>
      <xdr:col>1</xdr:col>
      <xdr:colOff>526143</xdr:colOff>
      <xdr:row>2</xdr:row>
      <xdr:rowOff>54429</xdr:rowOff>
    </xdr:to>
    <xdr:pic>
      <xdr:nvPicPr>
        <xdr:cNvPr id="30" name="Picture 29">
          <a:extLst>
            <a:ext uri="{FF2B5EF4-FFF2-40B4-BE49-F238E27FC236}">
              <a16:creationId xmlns:a16="http://schemas.microsoft.com/office/drawing/2014/main" id="{7F062D5F-772B-D5D7-3CEF-F958DCEEBB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133929" cy="417286"/>
        </a:xfrm>
        <a:prstGeom prst="rect">
          <a:avLst/>
        </a:prstGeom>
      </xdr:spPr>
    </xdr:pic>
    <xdr:clientData/>
  </xdr:twoCellAnchor>
  <xdr:twoCellAnchor editAs="absolute">
    <xdr:from>
      <xdr:col>1</xdr:col>
      <xdr:colOff>484443</xdr:colOff>
      <xdr:row>3</xdr:row>
      <xdr:rowOff>128464</xdr:rowOff>
    </xdr:from>
    <xdr:to>
      <xdr:col>3</xdr:col>
      <xdr:colOff>430015</xdr:colOff>
      <xdr:row>4</xdr:row>
      <xdr:rowOff>95544</xdr:rowOff>
    </xdr:to>
    <xdr:sp macro="" textlink="">
      <xdr:nvSpPr>
        <xdr:cNvPr id="31" name="TextBox 30">
          <a:extLst>
            <a:ext uri="{FF2B5EF4-FFF2-40B4-BE49-F238E27FC236}">
              <a16:creationId xmlns:a16="http://schemas.microsoft.com/office/drawing/2014/main" id="{46D7B6F8-539B-C6B9-C959-A4338613C8ED}"/>
            </a:ext>
          </a:extLst>
        </xdr:cNvPr>
        <xdr:cNvSpPr txBox="1"/>
      </xdr:nvSpPr>
      <xdr:spPr>
        <a:xfrm>
          <a:off x="1095448" y="676261"/>
          <a:ext cx="1167581" cy="149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050" baseline="0"/>
            <a:t>          </a:t>
          </a:r>
          <a:r>
            <a:rPr lang="en-IN" sz="800" baseline="0"/>
            <a:t>No. of Patient</a:t>
          </a:r>
          <a:endParaRPr lang="en-IN" sz="800"/>
        </a:p>
      </xdr:txBody>
    </xdr:sp>
    <xdr:clientData/>
  </xdr:twoCellAnchor>
  <xdr:twoCellAnchor editAs="absolute">
    <xdr:from>
      <xdr:col>1</xdr:col>
      <xdr:colOff>524094</xdr:colOff>
      <xdr:row>2</xdr:row>
      <xdr:rowOff>170747</xdr:rowOff>
    </xdr:from>
    <xdr:to>
      <xdr:col>3</xdr:col>
      <xdr:colOff>469666</xdr:colOff>
      <xdr:row>3</xdr:row>
      <xdr:rowOff>138998</xdr:rowOff>
    </xdr:to>
    <xdr:sp macro="" textlink="'Pivot Report'!A4">
      <xdr:nvSpPr>
        <xdr:cNvPr id="32" name="TextBox 31">
          <a:extLst>
            <a:ext uri="{FF2B5EF4-FFF2-40B4-BE49-F238E27FC236}">
              <a16:creationId xmlns:a16="http://schemas.microsoft.com/office/drawing/2014/main" id="{376C4D4E-7DA6-E743-FF49-6BDD51F081EA}"/>
            </a:ext>
          </a:extLst>
        </xdr:cNvPr>
        <xdr:cNvSpPr txBox="1"/>
      </xdr:nvSpPr>
      <xdr:spPr>
        <a:xfrm>
          <a:off x="1135099" y="535945"/>
          <a:ext cx="1167581" cy="150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100" b="0" i="0" u="none" strike="noStrike">
              <a:solidFill>
                <a:srgbClr val="000000"/>
              </a:solidFill>
              <a:latin typeface="Calibri"/>
              <a:ea typeface="Calibri"/>
              <a:cs typeface="Calibri"/>
            </a:rPr>
            <a:t>              </a:t>
          </a:r>
          <a:fld id="{03D8E282-1146-4B4A-B628-779892F57C27}" type="TxLink">
            <a:rPr lang="en-US" sz="1100" b="0" i="0" u="none" strike="noStrike">
              <a:solidFill>
                <a:srgbClr val="000000"/>
              </a:solidFill>
              <a:latin typeface="Calibri"/>
              <a:ea typeface="Calibri"/>
              <a:cs typeface="Calibri"/>
            </a:rPr>
            <a:pPr/>
            <a:t>952</a:t>
          </a:fld>
          <a:endParaRPr lang="en-IN" sz="1050"/>
        </a:p>
      </xdr:txBody>
    </xdr:sp>
    <xdr:clientData/>
  </xdr:twoCellAnchor>
  <xdr:twoCellAnchor editAs="absolute">
    <xdr:from>
      <xdr:col>3</xdr:col>
      <xdr:colOff>503025</xdr:colOff>
      <xdr:row>3</xdr:row>
      <xdr:rowOff>114418</xdr:rowOff>
    </xdr:from>
    <xdr:to>
      <xdr:col>5</xdr:col>
      <xdr:colOff>448596</xdr:colOff>
      <xdr:row>4</xdr:row>
      <xdr:rowOff>81498</xdr:rowOff>
    </xdr:to>
    <xdr:sp macro="" textlink="">
      <xdr:nvSpPr>
        <xdr:cNvPr id="34" name="TextBox 33">
          <a:extLst>
            <a:ext uri="{FF2B5EF4-FFF2-40B4-BE49-F238E27FC236}">
              <a16:creationId xmlns:a16="http://schemas.microsoft.com/office/drawing/2014/main" id="{7A80444A-5445-1F94-B973-85158471D61E}"/>
            </a:ext>
          </a:extLst>
        </xdr:cNvPr>
        <xdr:cNvSpPr txBox="1"/>
      </xdr:nvSpPr>
      <xdr:spPr>
        <a:xfrm>
          <a:off x="2336039" y="662215"/>
          <a:ext cx="1167580" cy="149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050" baseline="0"/>
            <a:t>       </a:t>
          </a:r>
          <a:r>
            <a:rPr lang="en-IN" sz="800" baseline="0"/>
            <a:t>Average Wait Time</a:t>
          </a:r>
          <a:endParaRPr lang="en-IN" sz="800"/>
        </a:p>
      </xdr:txBody>
    </xdr:sp>
    <xdr:clientData/>
  </xdr:twoCellAnchor>
  <xdr:twoCellAnchor editAs="absolute">
    <xdr:from>
      <xdr:col>3</xdr:col>
      <xdr:colOff>500538</xdr:colOff>
      <xdr:row>2</xdr:row>
      <xdr:rowOff>160212</xdr:rowOff>
    </xdr:from>
    <xdr:to>
      <xdr:col>5</xdr:col>
      <xdr:colOff>446109</xdr:colOff>
      <xdr:row>3</xdr:row>
      <xdr:rowOff>128463</xdr:rowOff>
    </xdr:to>
    <xdr:sp macro="" textlink="'Pivot Report'!A10">
      <xdr:nvSpPr>
        <xdr:cNvPr id="35" name="TextBox 34">
          <a:extLst>
            <a:ext uri="{FF2B5EF4-FFF2-40B4-BE49-F238E27FC236}">
              <a16:creationId xmlns:a16="http://schemas.microsoft.com/office/drawing/2014/main" id="{179F5287-0D8E-CDC3-AA1D-A5DBD4FAEDC9}"/>
            </a:ext>
          </a:extLst>
        </xdr:cNvPr>
        <xdr:cNvSpPr txBox="1"/>
      </xdr:nvSpPr>
      <xdr:spPr>
        <a:xfrm>
          <a:off x="2333552" y="525410"/>
          <a:ext cx="1167580" cy="150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100" b="0" i="0" u="none" strike="noStrike">
              <a:solidFill>
                <a:srgbClr val="000000"/>
              </a:solidFill>
              <a:latin typeface="Calibri"/>
              <a:ea typeface="Calibri"/>
              <a:cs typeface="Calibri"/>
            </a:rPr>
            <a:t>              </a:t>
          </a:r>
          <a:fld id="{250F4BB2-CCC9-4182-819C-2FF84239F2DC}" type="TxLink">
            <a:rPr lang="en-US" sz="1100" b="0" i="0" u="none" strike="noStrike">
              <a:solidFill>
                <a:srgbClr val="000000"/>
              </a:solidFill>
              <a:latin typeface="Calibri"/>
              <a:ea typeface="Calibri"/>
              <a:cs typeface="Calibri"/>
            </a:rPr>
            <a:pPr/>
            <a:t>34.97</a:t>
          </a:fld>
          <a:endParaRPr lang="en-IN" sz="1050"/>
        </a:p>
      </xdr:txBody>
    </xdr:sp>
    <xdr:clientData/>
  </xdr:twoCellAnchor>
  <xdr:twoCellAnchor editAs="absolute">
    <xdr:from>
      <xdr:col>5</xdr:col>
      <xdr:colOff>505393</xdr:colOff>
      <xdr:row>3</xdr:row>
      <xdr:rowOff>106349</xdr:rowOff>
    </xdr:from>
    <xdr:to>
      <xdr:col>7</xdr:col>
      <xdr:colOff>450965</xdr:colOff>
      <xdr:row>4</xdr:row>
      <xdr:rowOff>69581</xdr:rowOff>
    </xdr:to>
    <xdr:sp macro="" textlink="">
      <xdr:nvSpPr>
        <xdr:cNvPr id="36" name="TextBox 35">
          <a:extLst>
            <a:ext uri="{FF2B5EF4-FFF2-40B4-BE49-F238E27FC236}">
              <a16:creationId xmlns:a16="http://schemas.microsoft.com/office/drawing/2014/main" id="{503DECC2-B62A-B0B7-406C-8998A351F688}"/>
            </a:ext>
          </a:extLst>
        </xdr:cNvPr>
        <xdr:cNvSpPr txBox="1"/>
      </xdr:nvSpPr>
      <xdr:spPr>
        <a:xfrm>
          <a:off x="3545287" y="665689"/>
          <a:ext cx="1161529" cy="149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050" baseline="0"/>
            <a:t>  </a:t>
          </a:r>
          <a:r>
            <a:rPr lang="en-IN" sz="800" baseline="0"/>
            <a:t>Patient Satisfaction Score</a:t>
          </a:r>
          <a:endParaRPr lang="en-IN" sz="800"/>
        </a:p>
      </xdr:txBody>
    </xdr:sp>
    <xdr:clientData/>
  </xdr:twoCellAnchor>
  <xdr:twoCellAnchor editAs="absolute">
    <xdr:from>
      <xdr:col>5</xdr:col>
      <xdr:colOff>420759</xdr:colOff>
      <xdr:row>2</xdr:row>
      <xdr:rowOff>178628</xdr:rowOff>
    </xdr:from>
    <xdr:to>
      <xdr:col>7</xdr:col>
      <xdr:colOff>366331</xdr:colOff>
      <xdr:row>3</xdr:row>
      <xdr:rowOff>146880</xdr:rowOff>
    </xdr:to>
    <xdr:sp macro="" textlink="'Pivot Report'!A14">
      <xdr:nvSpPr>
        <xdr:cNvPr id="37" name="TextBox 36">
          <a:extLst>
            <a:ext uri="{FF2B5EF4-FFF2-40B4-BE49-F238E27FC236}">
              <a16:creationId xmlns:a16="http://schemas.microsoft.com/office/drawing/2014/main" id="{69B7B633-CD29-2E54-B507-FDC95D85EFF5}"/>
            </a:ext>
          </a:extLst>
        </xdr:cNvPr>
        <xdr:cNvSpPr txBox="1"/>
      </xdr:nvSpPr>
      <xdr:spPr>
        <a:xfrm>
          <a:off x="3460653" y="551522"/>
          <a:ext cx="1161529" cy="1546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100" b="0" i="0" u="none" strike="noStrike">
              <a:solidFill>
                <a:srgbClr val="000000"/>
              </a:solidFill>
              <a:latin typeface="Calibri"/>
              <a:ea typeface="Calibri"/>
              <a:cs typeface="Calibri"/>
            </a:rPr>
            <a:t>               </a:t>
          </a:r>
          <a:fld id="{75DE2FAE-DD97-451B-BC27-CAD2BA81E69A}" type="TxLink">
            <a:rPr lang="en-US" sz="1100" b="0" i="0" u="none" strike="noStrike">
              <a:solidFill>
                <a:srgbClr val="000000"/>
              </a:solidFill>
              <a:latin typeface="Calibri"/>
              <a:ea typeface="Calibri"/>
              <a:cs typeface="Calibri"/>
            </a:rPr>
            <a:pPr/>
            <a:t>4.88</a:t>
          </a:fld>
          <a:endParaRPr lang="en-IN" sz="1050"/>
        </a:p>
      </xdr:txBody>
    </xdr:sp>
    <xdr:clientData/>
  </xdr:twoCellAnchor>
  <xdr:twoCellAnchor editAs="oneCell">
    <xdr:from>
      <xdr:col>3</xdr:col>
      <xdr:colOff>131536</xdr:colOff>
      <xdr:row>2</xdr:row>
      <xdr:rowOff>63500</xdr:rowOff>
    </xdr:from>
    <xdr:to>
      <xdr:col>3</xdr:col>
      <xdr:colOff>476251</xdr:colOff>
      <xdr:row>4</xdr:row>
      <xdr:rowOff>45358</xdr:rowOff>
    </xdr:to>
    <xdr:pic>
      <xdr:nvPicPr>
        <xdr:cNvPr id="39" name="Graphic 38" descr="Male profile with solid fill">
          <a:extLst>
            <a:ext uri="{FF2B5EF4-FFF2-40B4-BE49-F238E27FC236}">
              <a16:creationId xmlns:a16="http://schemas.microsoft.com/office/drawing/2014/main" id="{16A5EC0B-1F8D-6177-81D6-B960B0637781}"/>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954893" y="426357"/>
          <a:ext cx="344715" cy="344715"/>
        </a:xfrm>
        <a:prstGeom prst="rect">
          <a:avLst/>
        </a:prstGeom>
      </xdr:spPr>
    </xdr:pic>
    <xdr:clientData/>
  </xdr:twoCellAnchor>
  <xdr:twoCellAnchor editAs="oneCell">
    <xdr:from>
      <xdr:col>7</xdr:col>
      <xdr:colOff>204105</xdr:colOff>
      <xdr:row>2</xdr:row>
      <xdr:rowOff>63499</xdr:rowOff>
    </xdr:from>
    <xdr:to>
      <xdr:col>7</xdr:col>
      <xdr:colOff>503464</xdr:colOff>
      <xdr:row>4</xdr:row>
      <xdr:rowOff>1</xdr:rowOff>
    </xdr:to>
    <xdr:pic>
      <xdr:nvPicPr>
        <xdr:cNvPr id="41" name="Graphic 40" descr="Star with solid fill">
          <a:extLst>
            <a:ext uri="{FF2B5EF4-FFF2-40B4-BE49-F238E27FC236}">
              <a16:creationId xmlns:a16="http://schemas.microsoft.com/office/drawing/2014/main" id="{A2120244-EECD-CEF2-A0C4-5F5ECBD09818}"/>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458605" y="426356"/>
          <a:ext cx="299359" cy="299359"/>
        </a:xfrm>
        <a:prstGeom prst="rect">
          <a:avLst/>
        </a:prstGeom>
      </xdr:spPr>
    </xdr:pic>
    <xdr:clientData/>
  </xdr:twoCellAnchor>
  <xdr:twoCellAnchor editAs="oneCell">
    <xdr:from>
      <xdr:col>5</xdr:col>
      <xdr:colOff>136072</xdr:colOff>
      <xdr:row>2</xdr:row>
      <xdr:rowOff>66220</xdr:rowOff>
    </xdr:from>
    <xdr:to>
      <xdr:col>5</xdr:col>
      <xdr:colOff>494393</xdr:colOff>
      <xdr:row>4</xdr:row>
      <xdr:rowOff>36286</xdr:rowOff>
    </xdr:to>
    <xdr:pic>
      <xdr:nvPicPr>
        <xdr:cNvPr id="43" name="Graphic 42" descr="Hourglass Finished with solid fill">
          <a:extLst>
            <a:ext uri="{FF2B5EF4-FFF2-40B4-BE49-F238E27FC236}">
              <a16:creationId xmlns:a16="http://schemas.microsoft.com/office/drawing/2014/main" id="{8E026D32-9460-D701-AE73-8263F03B761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175001" y="429077"/>
          <a:ext cx="358321" cy="332923"/>
        </a:xfrm>
        <a:prstGeom prst="rect">
          <a:avLst/>
        </a:prstGeom>
      </xdr:spPr>
    </xdr:pic>
    <xdr:clientData/>
  </xdr:twoCellAnchor>
  <xdr:twoCellAnchor editAs="absolute">
    <xdr:from>
      <xdr:col>2</xdr:col>
      <xdr:colOff>290286</xdr:colOff>
      <xdr:row>1</xdr:row>
      <xdr:rowOff>58964</xdr:rowOff>
    </xdr:from>
    <xdr:to>
      <xdr:col>4</xdr:col>
      <xdr:colOff>235857</xdr:colOff>
      <xdr:row>2</xdr:row>
      <xdr:rowOff>27215</xdr:rowOff>
    </xdr:to>
    <xdr:sp macro="" textlink="">
      <xdr:nvSpPr>
        <xdr:cNvPr id="44" name="TextBox 43">
          <a:extLst>
            <a:ext uri="{FF2B5EF4-FFF2-40B4-BE49-F238E27FC236}">
              <a16:creationId xmlns:a16="http://schemas.microsoft.com/office/drawing/2014/main" id="{184AC22D-DCB0-413A-10D6-6E3519764255}"/>
            </a:ext>
          </a:extLst>
        </xdr:cNvPr>
        <xdr:cNvSpPr txBox="1"/>
      </xdr:nvSpPr>
      <xdr:spPr>
        <a:xfrm>
          <a:off x="1505857" y="240393"/>
          <a:ext cx="1161143" cy="149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800"/>
            <a:t>               Monthly</a:t>
          </a:r>
          <a:r>
            <a:rPr lang="en-IN" sz="800" baseline="0"/>
            <a:t> Report</a:t>
          </a:r>
          <a:endParaRPr lang="en-IN" sz="800"/>
        </a:p>
      </xdr:txBody>
    </xdr:sp>
    <xdr:clientData/>
  </xdr:twoCellAnchor>
  <xdr:twoCellAnchor editAs="oneCell">
    <xdr:from>
      <xdr:col>0</xdr:col>
      <xdr:colOff>68035</xdr:colOff>
      <xdr:row>2</xdr:row>
      <xdr:rowOff>56445</xdr:rowOff>
    </xdr:from>
    <xdr:to>
      <xdr:col>1</xdr:col>
      <xdr:colOff>431241</xdr:colOff>
      <xdr:row>15</xdr:row>
      <xdr:rowOff>109873</xdr:rowOff>
    </xdr:to>
    <mc:AlternateContent xmlns:mc="http://schemas.openxmlformats.org/markup-compatibility/2006" xmlns:a14="http://schemas.microsoft.com/office/drawing/2010/main">
      <mc:Choice Requires="a14">
        <xdr:graphicFrame macro="">
          <xdr:nvGraphicFramePr>
            <xdr:cNvPr id="45" name="Date (Month) 1">
              <a:extLst>
                <a:ext uri="{FF2B5EF4-FFF2-40B4-BE49-F238E27FC236}">
                  <a16:creationId xmlns:a16="http://schemas.microsoft.com/office/drawing/2014/main" id="{77D2F8EE-BDC6-48B2-A212-6985E10BDA6D}"/>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68035" y="421849"/>
              <a:ext cx="973697" cy="2428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469570</xdr:colOff>
      <xdr:row>3</xdr:row>
      <xdr:rowOff>138141</xdr:rowOff>
    </xdr:from>
    <xdr:to>
      <xdr:col>3</xdr:col>
      <xdr:colOff>458983</xdr:colOff>
      <xdr:row>6</xdr:row>
      <xdr:rowOff>13369</xdr:rowOff>
    </xdr:to>
    <xdr:graphicFrame macro="">
      <xdr:nvGraphicFramePr>
        <xdr:cNvPr id="49" name="Chart 48">
          <a:hlinkClick xmlns:r="http://schemas.openxmlformats.org/officeDocument/2006/relationships" r:id="rId8"/>
          <a:extLst>
            <a:ext uri="{FF2B5EF4-FFF2-40B4-BE49-F238E27FC236}">
              <a16:creationId xmlns:a16="http://schemas.microsoft.com/office/drawing/2014/main" id="{ABC930A9-81A7-D19C-B4A6-D4DA2C261F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522514</xdr:colOff>
      <xdr:row>4</xdr:row>
      <xdr:rowOff>73478</xdr:rowOff>
    </xdr:from>
    <xdr:to>
      <xdr:col>5</xdr:col>
      <xdr:colOff>459921</xdr:colOff>
      <xdr:row>5</xdr:row>
      <xdr:rowOff>163285</xdr:rowOff>
    </xdr:to>
    <xdr:graphicFrame macro="">
      <xdr:nvGraphicFramePr>
        <xdr:cNvPr id="7" name="Chart 6">
          <a:hlinkClick xmlns:r="http://schemas.openxmlformats.org/officeDocument/2006/relationships" r:id="rId10"/>
          <a:extLst>
            <a:ext uri="{FF2B5EF4-FFF2-40B4-BE49-F238E27FC236}">
              <a16:creationId xmlns:a16="http://schemas.microsoft.com/office/drawing/2014/main" id="{CD7ED198-F0CD-64B8-B3B5-AD4F2B8A5D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535020</xdr:colOff>
      <xdr:row>4</xdr:row>
      <xdr:rowOff>8106</xdr:rowOff>
    </xdr:from>
    <xdr:to>
      <xdr:col>7</xdr:col>
      <xdr:colOff>478277</xdr:colOff>
      <xdr:row>6</xdr:row>
      <xdr:rowOff>8105</xdr:rowOff>
    </xdr:to>
    <xdr:graphicFrame macro="">
      <xdr:nvGraphicFramePr>
        <xdr:cNvPr id="9" name="Chart 8">
          <a:hlinkClick xmlns:r="http://schemas.openxmlformats.org/officeDocument/2006/relationships" r:id="rId12"/>
          <a:extLst>
            <a:ext uri="{FF2B5EF4-FFF2-40B4-BE49-F238E27FC236}">
              <a16:creationId xmlns:a16="http://schemas.microsoft.com/office/drawing/2014/main" id="{2D427429-A562-4050-8E37-6B652FF3A1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541540</xdr:colOff>
          <xdr:row>6</xdr:row>
          <xdr:rowOff>96981</xdr:rowOff>
        </xdr:from>
        <xdr:to>
          <xdr:col>7</xdr:col>
          <xdr:colOff>494145</xdr:colOff>
          <xdr:row>9</xdr:row>
          <xdr:rowOff>82131</xdr:rowOff>
        </xdr:to>
        <xdr:pic>
          <xdr:nvPicPr>
            <xdr:cNvPr id="14" name="Picture 13">
              <a:extLst>
                <a:ext uri="{FF2B5EF4-FFF2-40B4-BE49-F238E27FC236}">
                  <a16:creationId xmlns:a16="http://schemas.microsoft.com/office/drawing/2014/main" id="{5B02AE86-658C-BDBF-6AE8-64B0ABA752F0}"/>
                </a:ext>
              </a:extLst>
            </xdr:cNvPr>
            <xdr:cNvPicPr>
              <a:picLocks noChangeAspect="1" noChangeArrowheads="1"/>
              <a:extLst>
                <a:ext uri="{84589F7E-364E-4C9E-8A38-B11213B215E9}">
                  <a14:cameraTool cellRange="'Pivot Report'!$A$43:$D$45" spid="_x0000_s1033"/>
                </a:ext>
              </a:extLst>
            </xdr:cNvPicPr>
          </xdr:nvPicPr>
          <xdr:blipFill>
            <a:blip xmlns:r="http://schemas.openxmlformats.org/officeDocument/2006/relationships" r:embed="rId14"/>
            <a:srcRect/>
            <a:stretch>
              <a:fillRect/>
            </a:stretch>
          </xdr:blipFill>
          <xdr:spPr bwMode="auto">
            <a:xfrm>
              <a:off x="1151140" y="1205345"/>
              <a:ext cx="3610205" cy="539331"/>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a:extLst>
              <a:ext uri="{909E8E84-426E-40DD-AFC4-6F175D3DCCD1}">
                <a14:hiddenFill>
                  <a:solidFill>
                    <a:srgbClr val="FFFFFF"/>
                  </a:solidFill>
                </a14:hiddenFill>
              </a:ext>
            </a:extLst>
          </xdr:spPr>
        </xdr:pic>
        <xdr:clientData/>
      </xdr:twoCellAnchor>
    </mc:Choice>
    <mc:Fallback/>
  </mc:AlternateContent>
  <xdr:twoCellAnchor>
    <xdr:from>
      <xdr:col>1</xdr:col>
      <xdr:colOff>503467</xdr:colOff>
      <xdr:row>10</xdr:row>
      <xdr:rowOff>32327</xdr:rowOff>
    </xdr:from>
    <xdr:to>
      <xdr:col>7</xdr:col>
      <xdr:colOff>471054</xdr:colOff>
      <xdr:row>15</xdr:row>
      <xdr:rowOff>55418</xdr:rowOff>
    </xdr:to>
    <xdr:graphicFrame macro="">
      <xdr:nvGraphicFramePr>
        <xdr:cNvPr id="18" name="Chart 17">
          <a:extLst>
            <a:ext uri="{FF2B5EF4-FFF2-40B4-BE49-F238E27FC236}">
              <a16:creationId xmlns:a16="http://schemas.microsoft.com/office/drawing/2014/main" id="{4783DA00-F391-480E-AE58-86F5BC75AA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3</xdr:col>
      <xdr:colOff>270955</xdr:colOff>
      <xdr:row>14</xdr:row>
      <xdr:rowOff>137343</xdr:rowOff>
    </xdr:from>
    <xdr:to>
      <xdr:col>5</xdr:col>
      <xdr:colOff>530016</xdr:colOff>
      <xdr:row>15</xdr:row>
      <xdr:rowOff>105016</xdr:rowOff>
    </xdr:to>
    <xdr:sp macro="" textlink="">
      <xdr:nvSpPr>
        <xdr:cNvPr id="20" name="TextBox 19">
          <a:extLst>
            <a:ext uri="{FF2B5EF4-FFF2-40B4-BE49-F238E27FC236}">
              <a16:creationId xmlns:a16="http://schemas.microsoft.com/office/drawing/2014/main" id="{15C5542F-A90B-4CBC-8A03-6B321CEF5CDF}"/>
            </a:ext>
          </a:extLst>
        </xdr:cNvPr>
        <xdr:cNvSpPr txBox="1"/>
      </xdr:nvSpPr>
      <xdr:spPr>
        <a:xfrm>
          <a:off x="2087229" y="2767809"/>
          <a:ext cx="1469910" cy="155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050" baseline="0"/>
            <a:t>          </a:t>
          </a:r>
          <a:r>
            <a:rPr lang="en-IN" sz="800" baseline="0"/>
            <a:t>No. of Patient by Age group</a:t>
          </a:r>
          <a:endParaRPr lang="en-IN" sz="800"/>
        </a:p>
      </xdr:txBody>
    </xdr:sp>
    <xdr:clientData/>
  </xdr:twoCellAnchor>
  <xdr:twoCellAnchor>
    <xdr:from>
      <xdr:col>7</xdr:col>
      <xdr:colOff>589363</xdr:colOff>
      <xdr:row>0</xdr:row>
      <xdr:rowOff>20062</xdr:rowOff>
    </xdr:from>
    <xdr:to>
      <xdr:col>9</xdr:col>
      <xdr:colOff>399228</xdr:colOff>
      <xdr:row>6</xdr:row>
      <xdr:rowOff>47521</xdr:rowOff>
    </xdr:to>
    <xdr:graphicFrame macro="">
      <xdr:nvGraphicFramePr>
        <xdr:cNvPr id="21" name="Chart 20">
          <a:extLst>
            <a:ext uri="{FF2B5EF4-FFF2-40B4-BE49-F238E27FC236}">
              <a16:creationId xmlns:a16="http://schemas.microsoft.com/office/drawing/2014/main" id="{A9E5FE75-7A7B-4433-8950-CE2175CD87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9</xdr:col>
      <xdr:colOff>473363</xdr:colOff>
      <xdr:row>0</xdr:row>
      <xdr:rowOff>0</xdr:rowOff>
    </xdr:from>
    <xdr:to>
      <xdr:col>11</xdr:col>
      <xdr:colOff>282864</xdr:colOff>
      <xdr:row>6</xdr:row>
      <xdr:rowOff>75046</xdr:rowOff>
    </xdr:to>
    <xdr:graphicFrame macro="">
      <xdr:nvGraphicFramePr>
        <xdr:cNvPr id="22" name="Chart 21">
          <a:extLst>
            <a:ext uri="{FF2B5EF4-FFF2-40B4-BE49-F238E27FC236}">
              <a16:creationId xmlns:a16="http://schemas.microsoft.com/office/drawing/2014/main" id="{62EAA11E-23FD-47CA-99CE-7688FDD1F6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7</xdr:col>
      <xdr:colOff>597031</xdr:colOff>
      <xdr:row>6</xdr:row>
      <xdr:rowOff>157113</xdr:rowOff>
    </xdr:from>
    <xdr:to>
      <xdr:col>11</xdr:col>
      <xdr:colOff>251381</xdr:colOff>
      <xdr:row>15</xdr:row>
      <xdr:rowOff>47134</xdr:rowOff>
    </xdr:to>
    <xdr:graphicFrame macro="">
      <xdr:nvGraphicFramePr>
        <xdr:cNvPr id="26" name="Chart 25">
          <a:extLst>
            <a:ext uri="{FF2B5EF4-FFF2-40B4-BE49-F238E27FC236}">
              <a16:creationId xmlns:a16="http://schemas.microsoft.com/office/drawing/2014/main" id="{FF202776-B93F-4402-AC40-0909C4789D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8</xdr:col>
      <xdr:colOff>298516</xdr:colOff>
      <xdr:row>14</xdr:row>
      <xdr:rowOff>149258</xdr:rowOff>
    </xdr:from>
    <xdr:to>
      <xdr:col>11</xdr:col>
      <xdr:colOff>23567</xdr:colOff>
      <xdr:row>15</xdr:row>
      <xdr:rowOff>132164</xdr:rowOff>
    </xdr:to>
    <xdr:sp macro="" textlink="">
      <xdr:nvSpPr>
        <xdr:cNvPr id="27" name="TextBox 30">
          <a:extLst>
            <a:ext uri="{FF2B5EF4-FFF2-40B4-BE49-F238E27FC236}">
              <a16:creationId xmlns:a16="http://schemas.microsoft.com/office/drawing/2014/main" id="{0EF54B2A-6A0D-8FB5-D876-A27EC451759D}"/>
            </a:ext>
          </a:extLst>
        </xdr:cNvPr>
        <xdr:cNvSpPr txBox="1"/>
      </xdr:nvSpPr>
      <xdr:spPr>
        <a:xfrm>
          <a:off x="5200454" y="2678784"/>
          <a:ext cx="1563278" cy="163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r>
            <a:rPr lang="en-IN" sz="800"/>
            <a:t>   No. of Patient Department</a:t>
          </a:r>
          <a:r>
            <a:rPr lang="en-IN" sz="800" baseline="0"/>
            <a:t> Referal</a:t>
          </a:r>
          <a:endParaRPr lang="en-IN" sz="800"/>
        </a:p>
      </xdr:txBody>
    </xdr:sp>
    <xdr:clientData/>
  </xdr:twoCellAnchor>
  <xdr:twoCellAnchor editAs="oneCell">
    <xdr:from>
      <xdr:col>5</xdr:col>
      <xdr:colOff>579372</xdr:colOff>
      <xdr:row>0</xdr:row>
      <xdr:rowOff>56677</xdr:rowOff>
    </xdr:from>
    <xdr:to>
      <xdr:col>7</xdr:col>
      <xdr:colOff>472315</xdr:colOff>
      <xdr:row>2</xdr:row>
      <xdr:rowOff>37785</xdr:rowOff>
    </xdr:to>
    <mc:AlternateContent xmlns:mc="http://schemas.openxmlformats.org/markup-compatibility/2006">
      <mc:Choice xmlns:a14="http://schemas.microsoft.com/office/drawing/2010/main" Requires="a14">
        <xdr:graphicFrame macro="">
          <xdr:nvGraphicFramePr>
            <xdr:cNvPr id="29" name="Date (Year)">
              <a:extLst>
                <a:ext uri="{FF2B5EF4-FFF2-40B4-BE49-F238E27FC236}">
                  <a16:creationId xmlns:a16="http://schemas.microsoft.com/office/drawing/2014/main" id="{109B72AD-C04A-45EA-BFDD-1E4CC9C40019}"/>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3647164" y="56677"/>
              <a:ext cx="1120060" cy="3373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cdr:x>
      <cdr:y>0.84178</cdr:y>
    </cdr:from>
    <cdr:to>
      <cdr:x>1</cdr:x>
      <cdr:y>0.97482</cdr:y>
    </cdr:to>
    <cdr:sp macro="" textlink="">
      <cdr:nvSpPr>
        <cdr:cNvPr id="2" name="TextBox 30">
          <a:extLst xmlns:a="http://schemas.openxmlformats.org/drawingml/2006/main">
            <a:ext uri="{FF2B5EF4-FFF2-40B4-BE49-F238E27FC236}">
              <a16:creationId xmlns:a16="http://schemas.microsoft.com/office/drawing/2014/main" id="{46D7B6F8-539B-C6B9-C959-A4338613C8ED}"/>
            </a:ext>
          </a:extLst>
        </cdr:cNvPr>
        <cdr:cNvSpPr txBox="1"/>
      </cdr:nvSpPr>
      <cdr:spPr>
        <a:xfrm xmlns:a="http://schemas.openxmlformats.org/drawingml/2006/main">
          <a:off x="0" y="938566"/>
          <a:ext cx="1030544" cy="148333"/>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IN" sz="800"/>
            <a:t>   Patient</a:t>
          </a:r>
          <a:r>
            <a:rPr lang="en-IN" sz="800" baseline="0"/>
            <a:t> Attend Status</a:t>
          </a:r>
          <a:endParaRPr lang="en-IN" sz="800"/>
        </a:p>
      </cdr:txBody>
    </cdr:sp>
  </cdr:relSizeAnchor>
</c:userShapes>
</file>

<file path=xl/drawings/drawing4.xml><?xml version="1.0" encoding="utf-8"?>
<c:userShapes xmlns:c="http://schemas.openxmlformats.org/drawingml/2006/chart">
  <cdr:relSizeAnchor xmlns:cdr="http://schemas.openxmlformats.org/drawingml/2006/chartDrawing">
    <cdr:from>
      <cdr:x>0</cdr:x>
      <cdr:y>0.8478</cdr:y>
    </cdr:from>
    <cdr:to>
      <cdr:x>1</cdr:x>
      <cdr:y>0.97549</cdr:y>
    </cdr:to>
    <cdr:sp macro="" textlink="">
      <cdr:nvSpPr>
        <cdr:cNvPr id="2" name="TextBox 30">
          <a:extLst xmlns:a="http://schemas.openxmlformats.org/drawingml/2006/main">
            <a:ext uri="{FF2B5EF4-FFF2-40B4-BE49-F238E27FC236}">
              <a16:creationId xmlns:a16="http://schemas.microsoft.com/office/drawing/2014/main" id="{CB71A132-8A9C-BC4B-155C-A11DC56A70C6}"/>
            </a:ext>
          </a:extLst>
        </cdr:cNvPr>
        <cdr:cNvSpPr txBox="1"/>
      </cdr:nvSpPr>
      <cdr:spPr>
        <a:xfrm xmlns:a="http://schemas.openxmlformats.org/drawingml/2006/main">
          <a:off x="0" y="1003300"/>
          <a:ext cx="1033319" cy="151107"/>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IN" sz="800"/>
            <a:t>    Gender wise Analysis</a:t>
          </a:r>
        </a:p>
      </cdr:txBody>
    </cdr:sp>
  </cdr:relSizeAnchor>
</c:userShapes>
</file>

<file path=xl/drawings/drawing5.xml><?xml version="1.0" encoding="utf-8"?>
<xdr:wsDr xmlns:xdr="http://schemas.openxmlformats.org/drawingml/2006/spreadsheetDrawing" xmlns:a="http://schemas.openxmlformats.org/drawingml/2006/main">
  <xdr:twoCellAnchor>
    <xdr:from>
      <xdr:col>0</xdr:col>
      <xdr:colOff>17044</xdr:colOff>
      <xdr:row>0</xdr:row>
      <xdr:rowOff>17521</xdr:rowOff>
    </xdr:from>
    <xdr:to>
      <xdr:col>12</xdr:col>
      <xdr:colOff>224404</xdr:colOff>
      <xdr:row>19</xdr:row>
      <xdr:rowOff>89341</xdr:rowOff>
    </xdr:to>
    <xdr:graphicFrame macro="">
      <xdr:nvGraphicFramePr>
        <xdr:cNvPr id="2" name="Chart 1">
          <a:extLst>
            <a:ext uri="{FF2B5EF4-FFF2-40B4-BE49-F238E27FC236}">
              <a16:creationId xmlns:a16="http://schemas.microsoft.com/office/drawing/2014/main" id="{D27C55FF-5C98-4925-BD52-2D1F1C8D88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33130</xdr:colOff>
      <xdr:row>0</xdr:row>
      <xdr:rowOff>48001</xdr:rowOff>
    </xdr:from>
    <xdr:to>
      <xdr:col>0</xdr:col>
      <xdr:colOff>419652</xdr:colOff>
      <xdr:row>2</xdr:row>
      <xdr:rowOff>55218</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8ABD75B9-3E50-72E3-E5A0-6F85FE03CBE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3130" y="48001"/>
          <a:ext cx="386522" cy="37165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13252</xdr:colOff>
      <xdr:row>0</xdr:row>
      <xdr:rowOff>13252</xdr:rowOff>
    </xdr:from>
    <xdr:to>
      <xdr:col>11</xdr:col>
      <xdr:colOff>586740</xdr:colOff>
      <xdr:row>20</xdr:row>
      <xdr:rowOff>53340</xdr:rowOff>
    </xdr:to>
    <xdr:graphicFrame macro="">
      <xdr:nvGraphicFramePr>
        <xdr:cNvPr id="2" name="Chart 1">
          <a:extLst>
            <a:ext uri="{FF2B5EF4-FFF2-40B4-BE49-F238E27FC236}">
              <a16:creationId xmlns:a16="http://schemas.microsoft.com/office/drawing/2014/main" id="{92B20DA4-CC07-4929-A51D-DABFCCC6EB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1.3738E-7</cdr:x>
      <cdr:y>2.66617E-7</cdr:y>
    </cdr:from>
    <cdr:to>
      <cdr:x>0.07373</cdr:x>
      <cdr:y>0.1431</cdr:y>
    </cdr:to>
    <cdr:pic>
      <cdr:nvPicPr>
        <cdr:cNvPr id="3" name="Graphic 2" descr="Home with solid fill">
          <a:extLst xmlns:a="http://schemas.openxmlformats.org/drawingml/2006/main">
            <a:ext uri="{FF2B5EF4-FFF2-40B4-BE49-F238E27FC236}">
              <a16:creationId xmlns:a16="http://schemas.microsoft.com/office/drawing/2014/main" id="{C05DEB31-01D2-8871-8324-69FA10171A07}"/>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1" y="1"/>
          <a:ext cx="536712" cy="536712"/>
        </a:xfrm>
        <a:prstGeom xmlns:a="http://schemas.openxmlformats.org/drawingml/2006/main" prst="rect">
          <a:avLst/>
        </a:prstGeom>
      </cdr:spPr>
    </cdr:pic>
  </cdr:relSizeAnchor>
</c:userShapes>
</file>

<file path=xl/drawings/drawing8.xml><?xml version="1.0" encoding="utf-8"?>
<xdr:wsDr xmlns:xdr="http://schemas.openxmlformats.org/drawingml/2006/spreadsheetDrawing" xmlns:a="http://schemas.openxmlformats.org/drawingml/2006/main">
  <xdr:twoCellAnchor editAs="oneCell">
    <xdr:from>
      <xdr:col>0</xdr:col>
      <xdr:colOff>33130</xdr:colOff>
      <xdr:row>0</xdr:row>
      <xdr:rowOff>48001</xdr:rowOff>
    </xdr:from>
    <xdr:to>
      <xdr:col>0</xdr:col>
      <xdr:colOff>419652</xdr:colOff>
      <xdr:row>2</xdr:row>
      <xdr:rowOff>55218</xdr:rowOff>
    </xdr:to>
    <xdr:pic>
      <xdr:nvPicPr>
        <xdr:cNvPr id="3" name="Graphic 2" descr="Home with solid fill">
          <a:hlinkClick xmlns:r="http://schemas.openxmlformats.org/officeDocument/2006/relationships" r:id="rId1"/>
          <a:extLst>
            <a:ext uri="{FF2B5EF4-FFF2-40B4-BE49-F238E27FC236}">
              <a16:creationId xmlns:a16="http://schemas.microsoft.com/office/drawing/2014/main" id="{63C051DC-ED5F-4695-AB9D-1423C2BA79F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3130" y="48001"/>
          <a:ext cx="386522" cy="372977"/>
        </a:xfrm>
        <a:prstGeom prst="rect">
          <a:avLst/>
        </a:prstGeom>
      </xdr:spPr>
    </xdr:pic>
    <xdr:clientData/>
  </xdr:twoCellAnchor>
  <xdr:twoCellAnchor>
    <xdr:from>
      <xdr:col>0</xdr:col>
      <xdr:colOff>11042</xdr:colOff>
      <xdr:row>0</xdr:row>
      <xdr:rowOff>11042</xdr:rowOff>
    </xdr:from>
    <xdr:to>
      <xdr:col>15</xdr:col>
      <xdr:colOff>353391</xdr:colOff>
      <xdr:row>20</xdr:row>
      <xdr:rowOff>110434</xdr:rowOff>
    </xdr:to>
    <xdr:graphicFrame macro="">
      <xdr:nvGraphicFramePr>
        <xdr:cNvPr id="6" name="Chart 5">
          <a:extLst>
            <a:ext uri="{FF2B5EF4-FFF2-40B4-BE49-F238E27FC236}">
              <a16:creationId xmlns:a16="http://schemas.microsoft.com/office/drawing/2014/main" id="{1779FC3F-B9B1-4119-A436-0BCE57DA7B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9.xml><?xml version="1.0" encoding="utf-8"?>
<c:userShapes xmlns:c="http://schemas.openxmlformats.org/drawingml/2006/chart">
  <cdr:relSizeAnchor xmlns:cdr="http://schemas.openxmlformats.org/drawingml/2006/chartDrawing">
    <cdr:from>
      <cdr:x>0</cdr:x>
      <cdr:y>0</cdr:y>
    </cdr:from>
    <cdr:to>
      <cdr:x>0.06908</cdr:x>
      <cdr:y>0.17075</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E1EF953B-5B50-BB85-4200-BC7A10FA2681}"/>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653681" cy="653681"/>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59.733610995369" createdVersion="5" refreshedVersion="8" minRefreshableVersion="3" recordCount="0" supportSubquery="1" supportAdvancedDrill="1" xr:uid="{7AB3C821-9FB4-4C3C-8279-6662C93092BA}">
  <cacheSource type="external" connectionId="3"/>
  <cacheFields count="4">
    <cacheField name="[Calendar_Table].[Date (Month)].[Date (Month)]" caption="Date (Month)" numFmtId="0" hierarchy="1" level="1">
      <sharedItems count="1">
        <s v="Apr"/>
      </sharedItems>
    </cacheField>
    <cacheField name="[Calendar_Table].[Date].[Date]" caption="Date" numFmtId="0" level="1">
      <sharedItems containsSemiMixedTypes="0" containsNonDate="0" containsDate="1" containsString="0" minDate="2023-04-01T00:00:00" maxDate="2024-05-01T00:00:00" count="6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sharedItems>
    </cacheField>
    <cacheField name="[Calendar_Table].[Date (Quarter)].[Date (Quarter)]" caption="Date (Quarter)" numFmtId="0" hierarchy="4" level="1">
      <sharedItems count="1">
        <s v="Qtr2"/>
      </sharedItems>
    </cacheField>
    <cacheField name="[Calendar_Table].[Date (Year)].[Date (Year)]" caption="Date (Year)" numFmtId="0" hierarchy="3" level="1">
      <sharedItems count="1">
        <s v="2023"/>
      </sharedItems>
    </cacheField>
  </cacheFields>
  <cacheHierarchies count="34">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59.733611111114" createdVersion="5" refreshedVersion="8" minRefreshableVersion="3" recordCount="0" supportSubquery="1" supportAdvancedDrill="1" xr:uid="{A05B866E-C5F5-4310-813E-F610E7DB5AC8}">
  <cacheSource type="external" connectionId="3"/>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59.733611342592" createdVersion="5" refreshedVersion="8" minRefreshableVersion="3" recordCount="0" supportSubquery="1" supportAdvancedDrill="1" xr:uid="{0A2877F4-B163-4EA7-A945-EAC66969F478}">
  <cacheSource type="external" connectionId="3"/>
  <cacheFields count="4">
    <cacheField name="[Calenda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0"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59.733611689815" createdVersion="5" refreshedVersion="8" minRefreshableVersion="3" recordCount="0" supportSubquery="1" supportAdvancedDrill="1" xr:uid="{1E1EF9DB-4042-40A4-B88C-4340078B3477}">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aly"/>
        <s v="Onetime"/>
      </sharedItems>
    </cacheField>
    <cacheField name="[Measures].[Count of Patient Attend Status]" caption="Count of Patient Attend Status" numFmtId="0" hierarchy="31"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59.733612152777" createdVersion="5" refreshedVersion="8" minRefreshableVersion="3" recordCount="0" supportSubquery="1" supportAdvancedDrill="1" xr:uid="{C02A0145-2DAA-4112-BD47-94E14AE1FFA9}">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59.7336125" createdVersion="5" refreshedVersion="8" minRefreshableVersion="3" recordCount="0" supportSubquery="1" supportAdvancedDrill="1" xr:uid="{B80A9D97-D0A5-49A7-B5CC-3A454529ADEE}">
  <cacheSource type="external" connectionId="3"/>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59.733612615739" createdVersion="5" refreshedVersion="8" minRefreshableVersion="3" recordCount="0" supportSubquery="1" supportAdvancedDrill="1" xr:uid="{E8D11404-E53C-41B4-A822-C832F09A694B}">
  <cacheSource type="external" connectionId="3"/>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59.733613078701" createdVersion="5" refreshedVersion="8" minRefreshableVersion="3" recordCount="0" supportSubquery="1" supportAdvancedDrill="1" xr:uid="{A8B0DA39-1752-49F6-9BE6-1A47C07B52E2}">
  <cacheSource type="external" connectionId="3"/>
  <cacheFields count="4">
    <cacheField name="[Calendar_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59.733613194447" createdVersion="5" refreshedVersion="8" minRefreshableVersion="3" recordCount="0" supportSubquery="1" supportAdvancedDrill="1" xr:uid="{7520632C-028F-41C9-8C74-9B2788825ECE}">
  <cacheSource type="external" connectionId="3"/>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59.73361354167" createdVersion="5" refreshedVersion="8" minRefreshableVersion="3" recordCount="0" supportSubquery="1" supportAdvancedDrill="1" xr:uid="{148C3AE2-41AC-4AAB-9A04-C9D99CD74D18}">
  <cacheSource type="external" connectionId="3"/>
  <cacheFields count="4">
    <cacheField name="[Measures].[Distinct Count of Patient Id]" caption="Distinct Count of Patient Id" numFmtId="0" hierarchy="24" level="32767"/>
    <cacheField name="[Calendar_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59.733614004632" createdVersion="5" refreshedVersion="8" minRefreshableVersion="3" recordCount="0" supportSubquery="1" supportAdvancedDrill="1" xr:uid="{7947D20B-1895-4C8E-A55C-61BD362E83D0}">
  <cacheSource type="external" connectionId="3"/>
  <cacheFields count="4">
    <cacheField name="[Calendar_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59.733614351855" createdVersion="5" refreshedVersion="8" minRefreshableVersion="3" recordCount="0" supportSubquery="1" supportAdvancedDrill="1" xr:uid="{B2AD4F17-B178-4C64-AF29-3AE2146647BD}">
  <cacheSource type="external" connectionId="3"/>
  <cacheFields count="5">
    <cacheField name="[Calendar_Table].[Date (Month)].[Date (Month)]" caption="Date (Month)" numFmtId="0" hierarchy="1" level="1">
      <sharedItems containsSemiMixedTypes="0" containsNonDate="0" containsString="0"/>
    </cacheField>
    <cacheField name="[Measures].[Count of Patient Admission Flag]" caption="Count of Patient Admission Flag" numFmtId="0" hierarchy="29" level="32767"/>
    <cacheField name="[Hospital Emergency Room Data].[Patient Admission Flag].[Patient Admission Flag]" caption="Patient Admission Flag" numFmtId="0" hierarchy="13" level="1">
      <sharedItems count="2">
        <s v="Admitted"/>
        <s v="Not Admitted"/>
      </sharedItems>
    </cacheField>
    <cacheField name="[Calendar_Table].[Date (Year)].[Date (Year)]" caption="Dat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59.73044201389" createdVersion="3" refreshedVersion="8" minRefreshableVersion="3" recordCount="0" supportSubquery="1" supportAdvancedDrill="1" xr:uid="{46419E71-3B9A-48E2-A1E9-764E75A168FF}">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336710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8585D8B-D2D3-4F7C-A74C-7E202F0CFC44}" name="PivotTable14" cacheId="630" applyNumberFormats="0" applyBorderFormats="0" applyFontFormats="0" applyPatternFormats="0" applyAlignmentFormats="0" applyWidthHeightFormats="1" dataCaption="Values" tag="75f90eb9-9352-4e41-8bcc-05b645c8f9d5" updatedVersion="8" minRefreshableVersion="3" subtotalHiddenItems="1" itemPrintTitles="1" createdVersion="5" indent="0" outline="1" outlineData="1" multipleFieldFilters="0" chartFormat="33">
  <location ref="A84:A86" firstHeaderRow="1" firstDataRow="1" firstDataCol="1"/>
  <pivotFields count="4">
    <pivotField axis="axisRow" allDrilled="1" subtotalTop="0" showAll="0" dataSourceSort="1" defaultSubtotal="0">
      <items count="1">
        <item s="1" x="0" e="0"/>
      </items>
    </pivotField>
    <pivotField axis="axisRow" allDrilled="1" subtotalTop="0" showAll="0" dataSourceSort="1" defaultSubtotal="0" defaultAttributeDrillState="1">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51">
      <pivotArea outline="0" collapsedLevelsAreSubtotals="1" fieldPosition="0"/>
    </format>
  </format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D9F186B-63BF-42CD-9860-8702BE2964AB}" name="PivotTable13" cacheId="645" applyNumberFormats="0" applyBorderFormats="0" applyFontFormats="0" applyPatternFormats="0" applyAlignmentFormats="0" applyWidthHeightFormats="1" dataCaption="Values" tag="75f90eb9-9352-4e41-8bcc-05b645c8f9d5" updatedVersion="8" minRefreshableVersion="3" subtotalHiddenItems="1" itemPrintTitles="1" createdVersion="5" indent="0" outline="1" outlineData="1" multipleFieldFilters="0" chartFormat="33">
  <location ref="A72:B81"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3"/>
    </i>
    <i>
      <x v="6"/>
    </i>
    <i>
      <x v="1"/>
    </i>
    <i>
      <x/>
    </i>
    <i>
      <x v="5"/>
    </i>
    <i>
      <x v="2"/>
    </i>
    <i>
      <x v="4"/>
    </i>
    <i t="grand">
      <x/>
    </i>
  </rowItems>
  <colItems count="1">
    <i/>
  </colItems>
  <dataFields count="1">
    <dataField name="Count of Department Referral" fld="2" subtotal="count" baseField="0" baseItem="0"/>
  </dataFields>
  <formats count="1">
    <format dxfId="81">
      <pivotArea outline="0" collapsedLevelsAreSubtotals="1" fieldPosition="0"/>
    </format>
  </formats>
  <chartFormats count="2">
    <chartFormat chart="29"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C71EBEE-60C9-46DE-8178-DCB3C9DB748E}" name="PivotTable12" cacheId="642" applyNumberFormats="0" applyBorderFormats="0" applyFontFormats="0" applyPatternFormats="0" applyAlignmentFormats="0" applyWidthHeightFormats="1" dataCaption="Values" tag="75f90eb9-9352-4e41-8bcc-05b645c8f9d5" updatedVersion="8" minRefreshableVersion="3" subtotalHiddenItems="1" itemPrintTitles="1" createdVersion="5" indent="0" outline="1" outlineData="1" multipleFieldFilters="0" chartFormat="29">
  <location ref="A66:B69"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83">
      <pivotArea outline="0" collapsedLevelsAreSubtotals="1" fieldPosition="0"/>
    </format>
  </formats>
  <chartFormats count="3">
    <chartFormat chart="28" format="4" series="1">
      <pivotArea type="data" outline="0" fieldPosition="0">
        <references count="1">
          <reference field="4294967294" count="1" selected="0">
            <x v="0"/>
          </reference>
        </references>
      </pivotArea>
    </chartFormat>
    <chartFormat chart="28" format="5">
      <pivotArea type="data" outline="0" fieldPosition="0">
        <references count="2">
          <reference field="4294967294" count="1" selected="0">
            <x v="0"/>
          </reference>
          <reference field="1" count="1" selected="0">
            <x v="0"/>
          </reference>
        </references>
      </pivotArea>
    </chartFormat>
    <chartFormat chart="28"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229C48B-0F5D-4DBA-9471-B8FD398C3F37}" name="PivotTable11" cacheId="639" applyNumberFormats="0" applyBorderFormats="0" applyFontFormats="0" applyPatternFormats="0" applyAlignmentFormats="0" applyWidthHeightFormats="1" dataCaption="Values" tag="75f90eb9-9352-4e41-8bcc-05b645c8f9d5" updatedVersion="8" minRefreshableVersion="3" subtotalHiddenItems="1" itemPrintTitles="1" createdVersion="5" indent="0" outline="1" outlineData="1" multipleFieldFilters="0" chartFormat="24">
  <location ref="A60:B63"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1">
    <format dxfId="84">
      <pivotArea outline="0" collapsedLevelsAreSubtotals="1" fieldPosition="0"/>
    </format>
  </formats>
  <chartFormats count="3">
    <chartFormat chart="22" format="4" series="1">
      <pivotArea type="data" outline="0" fieldPosition="0">
        <references count="1">
          <reference field="4294967294" count="1" selected="0">
            <x v="0"/>
          </reference>
        </references>
      </pivotArea>
    </chartFormat>
    <chartFormat chart="22" format="5">
      <pivotArea type="data" outline="0" fieldPosition="0">
        <references count="2">
          <reference field="4294967294" count="1" selected="0">
            <x v="0"/>
          </reference>
          <reference field="1" count="1" selected="0">
            <x v="0"/>
          </reference>
        </references>
      </pivotArea>
    </chartFormat>
    <chartFormat chart="22"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0BC472A-2368-4A4A-B562-B8D633BC741A}" name="PivotTable10" cacheId="636" applyNumberFormats="0" applyBorderFormats="0" applyFontFormats="0" applyPatternFormats="0" applyAlignmentFormats="0" applyWidthHeightFormats="1" dataCaption="Values" tag="75f90eb9-9352-4e41-8bcc-05b645c8f9d5" updatedVersion="8" minRefreshableVersion="3" subtotalHiddenItems="1" itemPrintTitles="1" createdVersion="5" indent="0" outline="1" outlineData="1" multipleFieldFilters="0" chartFormat="19">
  <location ref="A48:B57"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1">
    <format dxfId="85">
      <pivotArea outline="0" collapsedLevelsAreSubtotals="1" fieldPosition="0"/>
    </format>
  </formats>
  <chartFormats count="2">
    <chartFormat chart="8" format="1"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741469E-9B7E-4FAA-98FB-74790207CD87}" name="PivotTable8" cacheId="663" applyNumberFormats="0" applyBorderFormats="0" applyFontFormats="0" applyPatternFormats="0" applyAlignmentFormats="0" applyWidthHeightFormats="1" dataCaption="Values" tag="75f90eb9-9352-4e41-8bcc-05b645c8f9d5" updatedVersion="8" minRefreshableVersion="3" subtotalHiddenItems="1" itemPrintTitles="1" createdVersion="5" indent="0" outline="1" outlineData="1" multipleFieldFilters="0" chartFormat="7">
  <location ref="A37:C40"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numFmtId="1"/>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2">
    <format dxfId="87">
      <pivotArea outline="0" collapsedLevelsAreSubtotals="1" fieldPosition="0"/>
    </format>
    <format dxfId="86">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s>
  <pivotHierarchies count="35">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120D3CC-AA0C-4457-92F0-325122673713}" name="PivotTable6" cacheId="660" applyNumberFormats="0" applyBorderFormats="0" applyFontFormats="0" applyPatternFormats="0" applyAlignmentFormats="0" applyWidthHeightFormats="1" dataCaption="Values" tag="fcf6c5a0-9263-48cf-910b-51cfecded9ef" updatedVersion="8" minRefreshableVersion="3" subtotalHiddenItems="1" itemPrintTitles="1" createdVersion="5" indent="0" outline="1" outlineData="1" multipleFieldFilters="0" chartFormat="61">
  <location ref="I3:J34"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0" baseItem="0"/>
  </dataFields>
  <formats count="1">
    <format dxfId="88">
      <pivotArea outline="0" collapsedLevelsAreSubtotals="1" fieldPosition="0"/>
    </format>
  </formats>
  <chartFormats count="2">
    <chartFormat chart="44" format="2" series="1">
      <pivotArea type="data" outline="0" fieldPosition="0">
        <references count="1">
          <reference field="4294967294" count="1" selected="0">
            <x v="0"/>
          </reference>
        </references>
      </pivotArea>
    </chartFormat>
    <chartFormat chart="57"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EA5F32D-CB1A-470F-B7D0-E3CEF5E6A4E9}" name="PivotTable3" cacheId="651" applyNumberFormats="0" applyBorderFormats="0" applyFontFormats="0" applyPatternFormats="0" applyAlignmentFormats="0" applyWidthHeightFormats="1" dataCaption="Values" tag="fcf6c5a0-9263-48cf-910b-51cfecded9ef" updatedVersion="8" minRefreshableVersion="3" subtotalHiddenItems="1" itemPrintTitles="1" createdVersion="5" indent="0" outline="1" outlineData="1" multipleFieldFilters="0" chartFormat="41">
  <location ref="F3:G34"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0" numFmtId="2"/>
  </dataFields>
  <formats count="1">
    <format dxfId="89">
      <pivotArea outline="0" collapsedLevelsAreSubtotals="1" fieldPosition="0"/>
    </format>
  </formats>
  <chartFormats count="2">
    <chartFormat chart="25" format="3" series="1">
      <pivotArea type="data" outline="0" fieldPosition="0">
        <references count="1">
          <reference field="4294967294" count="1" selected="0">
            <x v="0"/>
          </reference>
        </references>
      </pivotArea>
    </chartFormat>
    <chartFormat chart="30" format="5"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FDF328C-844B-4500-A5D7-4A03407F6DC3}" name="PivotTable2" cacheId="648" applyNumberFormats="0" applyBorderFormats="0" applyFontFormats="0" applyPatternFormats="0" applyAlignmentFormats="0" applyWidthHeightFormats="1" dataCaption="Values" tag="038a1975-9a8b-4f60-9c4c-69cff615e9d7" updatedVersion="8" minRefreshableVersion="3" subtotalHiddenItems="1" itemPrintTitles="1" createdVersion="5" indent="0" outline="1" outlineData="1" multipleFieldFilters="0">
  <location ref="A9:A1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90">
      <pivotArea outline="0" collapsedLevelsAreSubtotals="1" fieldPosition="0"/>
    </format>
  </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CC99020-EC20-414F-8FAB-20C6F6558CE0}" name="PivotTable1" cacheId="633" applyNumberFormats="0" applyBorderFormats="0" applyFontFormats="0" applyPatternFormats="0" applyAlignmentFormats="0" applyWidthHeightFormats="1" dataCaption="Values" tag="27a5b1ee-2a50-46b3-9bd7-af56026ca38b" updatedVersion="8" minRefreshableVersion="3" subtotalHiddenItems="1" itemPrintTitles="1" createdVersion="5" indent="0" outline="1" outlineData="1" multipleFieldFilters="0">
  <location ref="A3:A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4D5790A-5F85-44C9-B211-0CBD4CF9AF95}" name="PivotTable5" cacheId="657" applyNumberFormats="0" applyBorderFormats="0" applyFontFormats="0" applyPatternFormats="0" applyAlignmentFormats="0" applyWidthHeightFormats="1" dataCaption="Values" tag="fcf6c5a0-9263-48cf-910b-51cfecded9ef" updatedVersion="8" minRefreshableVersion="3" subtotalHiddenItems="1" itemPrintTitles="1" createdVersion="5" indent="0" outline="1" outlineData="1" multipleFieldFilters="0" chartFormat="21">
  <location ref="C3:D34" firstHeaderRow="1" firstDataRow="1" firstDataCol="1"/>
  <pivotFields count="4">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3">
    <chartFormat chart="0" format="0"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691693D-6F14-488E-AD8B-8D8244F8461E}" name="PivotTable4" cacheId="654" applyNumberFormats="0" applyBorderFormats="0" applyFontFormats="0" applyPatternFormats="0" applyAlignmentFormats="0" applyWidthHeightFormats="1" dataCaption="Values" tag="75f90eb9-9352-4e41-8bcc-05b645c8f9d5" updatedVersion="8" minRefreshableVersion="3" subtotalHiddenItems="1" itemPrintTitles="1" createdVersion="5" indent="0" outline="1" outlineData="1" multipleFieldFilters="0">
  <location ref="A13:A1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91">
      <pivotArea outline="0" collapsedLevelsAreSubtotals="1" fieldPosition="0"/>
    </format>
  </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3257FD63-6087-4FCB-A595-703715FF30A2}" sourceName="[Calendar_Table].[Date (Month)]">
  <pivotTables>
    <pivotTable tabId="1" name="PivotTable5"/>
    <pivotTable tabId="1" name="PivotTable1"/>
    <pivotTable tabId="1" name="PivotTable2"/>
    <pivotTable tabId="1" name="PivotTable4"/>
    <pivotTable tabId="1" name="PivotTable3"/>
    <pivotTable tabId="1" name="PivotTable6"/>
    <pivotTable tabId="1" name="PivotTable8"/>
    <pivotTable tabId="1" name="PivotTable10"/>
    <pivotTable tabId="1" name="PivotTable11"/>
    <pivotTable tabId="1" name="PivotTable12"/>
    <pivotTable tabId="1" name="PivotTable13"/>
    <pivotTable tabId="1" name="PivotTable14"/>
  </pivotTables>
  <data>
    <olap pivotCacheId="3367105">
      <levels count="2">
        <level uniqueName="[Calendar_Table].[Date (Month)].[(All)]" sourceCaption="(All)" count="0"/>
        <level uniqueName="[Calendar_Table].[Date (Month)].[Date (Month)]" sourceCaption="Date (Month)" count="12">
          <ranges>
            <range startItem="0">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i n="[Calendar_Table].[Date (Month)].&amp;[Jan]" c="Jan"/>
              <i n="[Calendar_Table].[Date (Month)].&amp;[Feb]" c="Feb"/>
              <i n="[Calendar_Table].[Date (Month)].&amp;[Mar]" c="Mar"/>
            </range>
          </ranges>
        </level>
      </levels>
      <selections count="1">
        <selection n="[Calendar_Table].[Date (Month)].&amp;[Ap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E6FB2AD4-D825-4D7C-B5C0-03754743FA9E}" sourceName="[Calendar_Table].[Date (Year)]">
  <pivotTables>
    <pivotTable tabId="1" name="PivotTable14"/>
    <pivotTable tabId="1" name="PivotTable1"/>
    <pivotTable tabId="1" name="PivotTable10"/>
    <pivotTable tabId="1" name="PivotTable11"/>
    <pivotTable tabId="1" name="PivotTable12"/>
    <pivotTable tabId="1" name="PivotTable13"/>
    <pivotTable tabId="1" name="PivotTable2"/>
    <pivotTable tabId="1" name="PivotTable3"/>
    <pivotTable tabId="1" name="PivotTable4"/>
    <pivotTable tabId="1" name="PivotTable5"/>
    <pivotTable tabId="1" name="PivotTable6"/>
    <pivotTable tabId="1" name="PivotTable8"/>
  </pivotTables>
  <data>
    <olap pivotCacheId="3367105">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2652B19C-30C4-4986-B168-CF31BB477A34}" cache="Slicer_Date__Month" caption="Date (Month)" showCaption="0" level="1" style="My Style" rowHeight="165600"/>
  <slicer name="Date (Year)" xr10:uid="{626BDB6C-7E85-48AE-9C51-C542A1069418}" cache="Slicer_Date__Year" caption="Date (Year)" columnCount="2" showCaption="0" level="1" style="My Styl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237F9-E4B6-43BE-9D30-4CADD4BAB181}">
  <dimension ref="A2:J86"/>
  <sheetViews>
    <sheetView topLeftCell="A76" zoomScale="114" zoomScaleNormal="118" workbookViewId="0">
      <selection activeCell="A84" sqref="A84"/>
    </sheetView>
  </sheetViews>
  <sheetFormatPr defaultRowHeight="14.4" x14ac:dyDescent="0.3"/>
  <cols>
    <col min="1" max="1" width="11.88671875" customWidth="1"/>
    <col min="2" max="2" width="26.109375" customWidth="1"/>
    <col min="3" max="3" width="8.33203125" customWidth="1"/>
    <col min="4" max="4" width="12.109375" customWidth="1"/>
    <col min="6" max="6" width="12.5546875" bestFit="1" customWidth="1"/>
    <col min="7" max="7" width="23.88671875" bestFit="1" customWidth="1"/>
    <col min="9" max="9" width="12.88671875" bestFit="1" customWidth="1"/>
    <col min="10" max="10" width="25.77734375" bestFit="1" customWidth="1"/>
  </cols>
  <sheetData>
    <row r="2" spans="1:10" x14ac:dyDescent="0.3">
      <c r="C2" t="s">
        <v>6</v>
      </c>
      <c r="F2" t="s">
        <v>7</v>
      </c>
      <c r="I2" t="s">
        <v>10</v>
      </c>
    </row>
    <row r="3" spans="1:10" x14ac:dyDescent="0.3">
      <c r="A3" t="s">
        <v>0</v>
      </c>
      <c r="C3" s="1" t="s">
        <v>4</v>
      </c>
      <c r="D3" t="s">
        <v>0</v>
      </c>
      <c r="F3" s="1" t="s">
        <v>4</v>
      </c>
      <c r="G3" t="s">
        <v>1</v>
      </c>
      <c r="I3" s="1" t="s">
        <v>4</v>
      </c>
      <c r="J3" t="s">
        <v>2</v>
      </c>
    </row>
    <row r="4" spans="1:10" x14ac:dyDescent="0.3">
      <c r="A4" s="7">
        <v>479</v>
      </c>
      <c r="C4" s="5" t="s">
        <v>18</v>
      </c>
      <c r="D4" s="7">
        <v>19</v>
      </c>
      <c r="F4" s="5" t="s">
        <v>18</v>
      </c>
      <c r="G4" s="2">
        <v>40.473684210526315</v>
      </c>
      <c r="I4" s="5" t="s">
        <v>18</v>
      </c>
      <c r="J4" s="2">
        <v>3.8</v>
      </c>
    </row>
    <row r="5" spans="1:10" x14ac:dyDescent="0.3">
      <c r="C5" s="5" t="s">
        <v>19</v>
      </c>
      <c r="D5" s="7">
        <v>13</v>
      </c>
      <c r="F5" s="5" t="s">
        <v>19</v>
      </c>
      <c r="G5" s="2">
        <v>29.46153846153846</v>
      </c>
      <c r="I5" s="5" t="s">
        <v>19</v>
      </c>
      <c r="J5" s="2">
        <v>7.75</v>
      </c>
    </row>
    <row r="6" spans="1:10" x14ac:dyDescent="0.3">
      <c r="C6" s="5" t="s">
        <v>20</v>
      </c>
      <c r="D6" s="7">
        <v>14</v>
      </c>
      <c r="F6" s="5" t="s">
        <v>20</v>
      </c>
      <c r="G6" s="2">
        <v>33.928571428571431</v>
      </c>
      <c r="I6" s="5" t="s">
        <v>20</v>
      </c>
      <c r="J6" s="2">
        <v>4.5999999999999996</v>
      </c>
    </row>
    <row r="7" spans="1:10" x14ac:dyDescent="0.3">
      <c r="C7" s="5" t="s">
        <v>21</v>
      </c>
      <c r="D7" s="7">
        <v>9</v>
      </c>
      <c r="F7" s="5" t="s">
        <v>21</v>
      </c>
      <c r="G7" s="2">
        <v>32.222222222222221</v>
      </c>
      <c r="I7" s="5" t="s">
        <v>21</v>
      </c>
      <c r="J7" s="2">
        <v>6</v>
      </c>
    </row>
    <row r="8" spans="1:10" x14ac:dyDescent="0.3">
      <c r="C8" s="5" t="s">
        <v>22</v>
      </c>
      <c r="D8" s="7">
        <v>19</v>
      </c>
      <c r="F8" s="5" t="s">
        <v>22</v>
      </c>
      <c r="G8" s="2">
        <v>35.736842105263158</v>
      </c>
      <c r="I8" s="5" t="s">
        <v>22</v>
      </c>
      <c r="J8" s="2">
        <v>5.5714285714285712</v>
      </c>
    </row>
    <row r="9" spans="1:10" x14ac:dyDescent="0.3">
      <c r="A9" t="s">
        <v>1</v>
      </c>
      <c r="C9" s="5" t="s">
        <v>23</v>
      </c>
      <c r="D9" s="7">
        <v>14</v>
      </c>
      <c r="F9" s="5" t="s">
        <v>23</v>
      </c>
      <c r="G9" s="2">
        <v>30.142857142857142</v>
      </c>
      <c r="I9" s="5" t="s">
        <v>23</v>
      </c>
      <c r="J9" s="2">
        <v>2</v>
      </c>
    </row>
    <row r="10" spans="1:10" x14ac:dyDescent="0.3">
      <c r="A10" s="2">
        <v>34.90187891440501</v>
      </c>
      <c r="C10" s="5" t="s">
        <v>24</v>
      </c>
      <c r="D10" s="7">
        <v>11</v>
      </c>
      <c r="F10" s="5" t="s">
        <v>24</v>
      </c>
      <c r="G10" s="2">
        <v>33.81818181818182</v>
      </c>
      <c r="I10" s="5" t="s">
        <v>24</v>
      </c>
      <c r="J10" s="2">
        <v>8</v>
      </c>
    </row>
    <row r="11" spans="1:10" x14ac:dyDescent="0.3">
      <c r="C11" s="5" t="s">
        <v>25</v>
      </c>
      <c r="D11" s="7">
        <v>22</v>
      </c>
      <c r="F11" s="5" t="s">
        <v>25</v>
      </c>
      <c r="G11" s="2">
        <v>31.681818181818183</v>
      </c>
      <c r="I11" s="5" t="s">
        <v>25</v>
      </c>
      <c r="J11" s="2">
        <v>8</v>
      </c>
    </row>
    <row r="12" spans="1:10" x14ac:dyDescent="0.3">
      <c r="C12" s="5" t="s">
        <v>26</v>
      </c>
      <c r="D12" s="7">
        <v>12</v>
      </c>
      <c r="F12" s="5" t="s">
        <v>26</v>
      </c>
      <c r="G12" s="2">
        <v>36.416666666666664</v>
      </c>
      <c r="I12" s="5" t="s">
        <v>26</v>
      </c>
      <c r="J12" s="2">
        <v>5.25</v>
      </c>
    </row>
    <row r="13" spans="1:10" x14ac:dyDescent="0.3">
      <c r="A13" t="s">
        <v>2</v>
      </c>
      <c r="C13" s="5" t="s">
        <v>27</v>
      </c>
      <c r="D13" s="7">
        <v>13</v>
      </c>
      <c r="F13" s="5" t="s">
        <v>27</v>
      </c>
      <c r="G13" s="2">
        <v>33.692307692307693</v>
      </c>
      <c r="I13" s="5" t="s">
        <v>27</v>
      </c>
      <c r="J13" s="2">
        <v>6</v>
      </c>
    </row>
    <row r="14" spans="1:10" x14ac:dyDescent="0.3">
      <c r="A14" s="2">
        <v>5.3034482758620687</v>
      </c>
      <c r="C14" s="5" t="s">
        <v>28</v>
      </c>
      <c r="D14" s="7">
        <v>17</v>
      </c>
      <c r="F14" s="5" t="s">
        <v>28</v>
      </c>
      <c r="G14" s="2">
        <v>39.117647058823529</v>
      </c>
      <c r="I14" s="5" t="s">
        <v>28</v>
      </c>
      <c r="J14" s="2">
        <v>6.5</v>
      </c>
    </row>
    <row r="15" spans="1:10" x14ac:dyDescent="0.3">
      <c r="C15" s="5" t="s">
        <v>29</v>
      </c>
      <c r="D15" s="7">
        <v>30</v>
      </c>
      <c r="F15" s="5" t="s">
        <v>29</v>
      </c>
      <c r="G15" s="2">
        <v>36.93333333333333</v>
      </c>
      <c r="I15" s="5" t="s">
        <v>29</v>
      </c>
      <c r="J15" s="2">
        <v>5.75</v>
      </c>
    </row>
    <row r="16" spans="1:10" x14ac:dyDescent="0.3">
      <c r="C16" s="5" t="s">
        <v>30</v>
      </c>
      <c r="D16" s="7">
        <v>13</v>
      </c>
      <c r="F16" s="5" t="s">
        <v>30</v>
      </c>
      <c r="G16" s="2">
        <v>29.923076923076923</v>
      </c>
      <c r="I16" s="5" t="s">
        <v>30</v>
      </c>
      <c r="J16" s="2">
        <v>5.6</v>
      </c>
    </row>
    <row r="17" spans="3:10" x14ac:dyDescent="0.3">
      <c r="C17" s="5" t="s">
        <v>31</v>
      </c>
      <c r="D17" s="7">
        <v>21</v>
      </c>
      <c r="F17" s="5" t="s">
        <v>31</v>
      </c>
      <c r="G17" s="2">
        <v>31.666666666666668</v>
      </c>
      <c r="I17" s="5" t="s">
        <v>31</v>
      </c>
      <c r="J17" s="2">
        <v>6.5</v>
      </c>
    </row>
    <row r="18" spans="3:10" x14ac:dyDescent="0.3">
      <c r="C18" s="5" t="s">
        <v>32</v>
      </c>
      <c r="D18" s="7">
        <v>12</v>
      </c>
      <c r="F18" s="5" t="s">
        <v>32</v>
      </c>
      <c r="G18" s="2">
        <v>40.25</v>
      </c>
      <c r="I18" s="5" t="s">
        <v>32</v>
      </c>
      <c r="J18" s="2">
        <v>5.666666666666667</v>
      </c>
    </row>
    <row r="19" spans="3:10" x14ac:dyDescent="0.3">
      <c r="C19" s="5" t="s">
        <v>33</v>
      </c>
      <c r="D19" s="7">
        <v>17</v>
      </c>
      <c r="F19" s="5" t="s">
        <v>33</v>
      </c>
      <c r="G19" s="2">
        <v>30</v>
      </c>
      <c r="I19" s="5" t="s">
        <v>33</v>
      </c>
      <c r="J19" s="2">
        <v>5.666666666666667</v>
      </c>
    </row>
    <row r="20" spans="3:10" x14ac:dyDescent="0.3">
      <c r="C20" s="5" t="s">
        <v>34</v>
      </c>
      <c r="D20" s="7">
        <v>16</v>
      </c>
      <c r="F20" s="5" t="s">
        <v>34</v>
      </c>
      <c r="G20" s="2">
        <v>35</v>
      </c>
      <c r="I20" s="5" t="s">
        <v>34</v>
      </c>
      <c r="J20" s="2">
        <v>5.8</v>
      </c>
    </row>
    <row r="21" spans="3:10" x14ac:dyDescent="0.3">
      <c r="C21" s="5" t="s">
        <v>35</v>
      </c>
      <c r="D21" s="7">
        <v>20</v>
      </c>
      <c r="F21" s="5" t="s">
        <v>35</v>
      </c>
      <c r="G21" s="2">
        <v>41.85</v>
      </c>
      <c r="I21" s="5" t="s">
        <v>35</v>
      </c>
      <c r="J21" s="2">
        <v>4.666666666666667</v>
      </c>
    </row>
    <row r="22" spans="3:10" x14ac:dyDescent="0.3">
      <c r="C22" s="5" t="s">
        <v>36</v>
      </c>
      <c r="D22" s="7">
        <v>18</v>
      </c>
      <c r="F22" s="5" t="s">
        <v>36</v>
      </c>
      <c r="G22" s="2">
        <v>33.277777777777779</v>
      </c>
      <c r="I22" s="5" t="s">
        <v>36</v>
      </c>
      <c r="J22" s="2">
        <v>4.833333333333333</v>
      </c>
    </row>
    <row r="23" spans="3:10" x14ac:dyDescent="0.3">
      <c r="C23" s="5" t="s">
        <v>37</v>
      </c>
      <c r="D23" s="7">
        <v>16</v>
      </c>
      <c r="F23" s="5" t="s">
        <v>37</v>
      </c>
      <c r="G23" s="2">
        <v>32.9375</v>
      </c>
      <c r="I23" s="5" t="s">
        <v>37</v>
      </c>
      <c r="J23" s="2">
        <v>2.3333333333333335</v>
      </c>
    </row>
    <row r="24" spans="3:10" x14ac:dyDescent="0.3">
      <c r="C24" s="5" t="s">
        <v>38</v>
      </c>
      <c r="D24" s="7">
        <v>15</v>
      </c>
      <c r="F24" s="5" t="s">
        <v>38</v>
      </c>
      <c r="G24" s="2">
        <v>33.266666666666666</v>
      </c>
      <c r="I24" s="5" t="s">
        <v>38</v>
      </c>
      <c r="J24" s="2">
        <v>4.5</v>
      </c>
    </row>
    <row r="25" spans="3:10" x14ac:dyDescent="0.3">
      <c r="C25" s="5" t="s">
        <v>39</v>
      </c>
      <c r="D25" s="7">
        <v>18</v>
      </c>
      <c r="F25" s="5" t="s">
        <v>39</v>
      </c>
      <c r="G25" s="2">
        <v>34.444444444444443</v>
      </c>
      <c r="I25" s="5" t="s">
        <v>39</v>
      </c>
      <c r="J25" s="2">
        <v>6.666666666666667</v>
      </c>
    </row>
    <row r="26" spans="3:10" x14ac:dyDescent="0.3">
      <c r="C26" s="5" t="s">
        <v>40</v>
      </c>
      <c r="D26" s="7">
        <v>12</v>
      </c>
      <c r="F26" s="5" t="s">
        <v>40</v>
      </c>
      <c r="G26" s="2">
        <v>43.416666666666664</v>
      </c>
      <c r="I26" s="5" t="s">
        <v>40</v>
      </c>
      <c r="J26" s="2">
        <v>7.5</v>
      </c>
    </row>
    <row r="27" spans="3:10" x14ac:dyDescent="0.3">
      <c r="C27" s="5" t="s">
        <v>41</v>
      </c>
      <c r="D27" s="7">
        <v>14</v>
      </c>
      <c r="F27" s="5" t="s">
        <v>41</v>
      </c>
      <c r="G27" s="2">
        <v>36.357142857142854</v>
      </c>
      <c r="I27" s="5" t="s">
        <v>41</v>
      </c>
      <c r="J27" s="2">
        <v>5.2857142857142856</v>
      </c>
    </row>
    <row r="28" spans="3:10" x14ac:dyDescent="0.3">
      <c r="C28" s="5" t="s">
        <v>42</v>
      </c>
      <c r="D28" s="7">
        <v>18</v>
      </c>
      <c r="F28" s="5" t="s">
        <v>42</v>
      </c>
      <c r="G28" s="2">
        <v>40.611111111111114</v>
      </c>
      <c r="I28" s="5" t="s">
        <v>42</v>
      </c>
      <c r="J28" s="2">
        <v>2.875</v>
      </c>
    </row>
    <row r="29" spans="3:10" x14ac:dyDescent="0.3">
      <c r="C29" s="5" t="s">
        <v>43</v>
      </c>
      <c r="D29" s="7">
        <v>16</v>
      </c>
      <c r="F29" s="5" t="s">
        <v>43</v>
      </c>
      <c r="G29" s="2">
        <v>29.875</v>
      </c>
      <c r="I29" s="5" t="s">
        <v>43</v>
      </c>
      <c r="J29" s="2">
        <v>6.25</v>
      </c>
    </row>
    <row r="30" spans="3:10" x14ac:dyDescent="0.3">
      <c r="C30" s="5" t="s">
        <v>44</v>
      </c>
      <c r="D30" s="7">
        <v>16</v>
      </c>
      <c r="F30" s="5" t="s">
        <v>44</v>
      </c>
      <c r="G30" s="2">
        <v>33.5</v>
      </c>
      <c r="I30" s="5" t="s">
        <v>44</v>
      </c>
      <c r="J30" s="2">
        <v>6.125</v>
      </c>
    </row>
    <row r="31" spans="3:10" x14ac:dyDescent="0.3">
      <c r="C31" s="5" t="s">
        <v>45</v>
      </c>
      <c r="D31" s="7">
        <v>16</v>
      </c>
      <c r="F31" s="5" t="s">
        <v>45</v>
      </c>
      <c r="G31" s="2">
        <v>32.5625</v>
      </c>
      <c r="I31" s="5" t="s">
        <v>45</v>
      </c>
      <c r="J31" s="2">
        <v>5.75</v>
      </c>
    </row>
    <row r="32" spans="3:10" x14ac:dyDescent="0.3">
      <c r="C32" s="5" t="s">
        <v>46</v>
      </c>
      <c r="D32" s="7">
        <v>14</v>
      </c>
      <c r="F32" s="5" t="s">
        <v>46</v>
      </c>
      <c r="G32" s="2">
        <v>38.571428571428569</v>
      </c>
      <c r="I32" s="5" t="s">
        <v>46</v>
      </c>
      <c r="J32" s="2">
        <v>5.375</v>
      </c>
    </row>
    <row r="33" spans="1:10" x14ac:dyDescent="0.3">
      <c r="C33" s="5" t="s">
        <v>47</v>
      </c>
      <c r="D33" s="7">
        <v>14</v>
      </c>
      <c r="F33" s="5" t="s">
        <v>47</v>
      </c>
      <c r="G33" s="2">
        <v>32.714285714285715</v>
      </c>
      <c r="I33" s="5" t="s">
        <v>47</v>
      </c>
      <c r="J33" s="2">
        <v>5.6</v>
      </c>
    </row>
    <row r="34" spans="1:10" x14ac:dyDescent="0.3">
      <c r="C34" s="5" t="s">
        <v>3</v>
      </c>
      <c r="D34" s="7">
        <v>479</v>
      </c>
      <c r="F34" s="5" t="s">
        <v>3</v>
      </c>
      <c r="G34" s="2">
        <v>34.90187891440501</v>
      </c>
      <c r="I34" s="5" t="s">
        <v>3</v>
      </c>
      <c r="J34" s="2">
        <v>5.3034482758620687</v>
      </c>
    </row>
    <row r="37" spans="1:10" x14ac:dyDescent="0.3">
      <c r="A37" s="1" t="s">
        <v>4</v>
      </c>
      <c r="B37" t="s">
        <v>11</v>
      </c>
      <c r="C37" t="s">
        <v>14</v>
      </c>
    </row>
    <row r="38" spans="1:10" x14ac:dyDescent="0.3">
      <c r="A38" s="5" t="s">
        <v>12</v>
      </c>
      <c r="B38" s="9">
        <v>237</v>
      </c>
      <c r="C38" s="10">
        <v>0.49478079331941544</v>
      </c>
    </row>
    <row r="39" spans="1:10" x14ac:dyDescent="0.3">
      <c r="A39" s="5" t="s">
        <v>13</v>
      </c>
      <c r="B39" s="9">
        <v>242</v>
      </c>
      <c r="C39" s="10">
        <v>0.50521920668058451</v>
      </c>
    </row>
    <row r="40" spans="1:10" x14ac:dyDescent="0.3">
      <c r="A40" s="5" t="s">
        <v>3</v>
      </c>
      <c r="B40" s="9">
        <v>479</v>
      </c>
      <c r="C40" s="10">
        <v>1</v>
      </c>
    </row>
    <row r="43" spans="1:10" x14ac:dyDescent="0.3">
      <c r="A43" s="12" t="s">
        <v>15</v>
      </c>
      <c r="B43" s="12" t="s">
        <v>17</v>
      </c>
      <c r="C43" s="12" t="s">
        <v>16</v>
      </c>
      <c r="D43" s="11"/>
    </row>
    <row r="44" spans="1:10" x14ac:dyDescent="0.3">
      <c r="A44" s="13" t="str">
        <f>A39</f>
        <v>Not Admitted</v>
      </c>
      <c r="B44" s="13">
        <f>B39</f>
        <v>242</v>
      </c>
      <c r="C44" s="14">
        <f>C39</f>
        <v>0.50521920668058451</v>
      </c>
      <c r="D44" s="8"/>
    </row>
    <row r="45" spans="1:10" x14ac:dyDescent="0.3">
      <c r="A45" s="13" t="str">
        <f>A38</f>
        <v>Admitted</v>
      </c>
      <c r="B45" s="13">
        <f>B38</f>
        <v>237</v>
      </c>
      <c r="C45" s="14">
        <f>C38</f>
        <v>0.49478079331941544</v>
      </c>
      <c r="D45" s="8"/>
    </row>
    <row r="47" spans="1:10" x14ac:dyDescent="0.3">
      <c r="A47" t="s">
        <v>57</v>
      </c>
    </row>
    <row r="48" spans="1:10" x14ac:dyDescent="0.3">
      <c r="A48" s="1" t="s">
        <v>4</v>
      </c>
      <c r="B48" t="s">
        <v>56</v>
      </c>
    </row>
    <row r="49" spans="1:2" x14ac:dyDescent="0.3">
      <c r="A49" s="5" t="s">
        <v>48</v>
      </c>
      <c r="B49" s="9">
        <v>70</v>
      </c>
    </row>
    <row r="50" spans="1:2" x14ac:dyDescent="0.3">
      <c r="A50" s="5" t="s">
        <v>49</v>
      </c>
      <c r="B50" s="9">
        <v>67</v>
      </c>
    </row>
    <row r="51" spans="1:2" x14ac:dyDescent="0.3">
      <c r="A51" s="5" t="s">
        <v>50</v>
      </c>
      <c r="B51" s="9">
        <v>64</v>
      </c>
    </row>
    <row r="52" spans="1:2" x14ac:dyDescent="0.3">
      <c r="A52" s="5" t="s">
        <v>51</v>
      </c>
      <c r="B52" s="9">
        <v>60</v>
      </c>
    </row>
    <row r="53" spans="1:2" x14ac:dyDescent="0.3">
      <c r="A53" s="5" t="s">
        <v>52</v>
      </c>
      <c r="B53" s="9">
        <v>42</v>
      </c>
    </row>
    <row r="54" spans="1:2" x14ac:dyDescent="0.3">
      <c r="A54" s="5" t="s">
        <v>53</v>
      </c>
      <c r="B54" s="9">
        <v>53</v>
      </c>
    </row>
    <row r="55" spans="1:2" x14ac:dyDescent="0.3">
      <c r="A55" s="5" t="s">
        <v>54</v>
      </c>
      <c r="B55" s="9">
        <v>71</v>
      </c>
    </row>
    <row r="56" spans="1:2" x14ac:dyDescent="0.3">
      <c r="A56" s="5" t="s">
        <v>55</v>
      </c>
      <c r="B56" s="9">
        <v>52</v>
      </c>
    </row>
    <row r="57" spans="1:2" x14ac:dyDescent="0.3">
      <c r="A57" s="5" t="s">
        <v>3</v>
      </c>
      <c r="B57" s="9">
        <v>479</v>
      </c>
    </row>
    <row r="59" spans="1:2" x14ac:dyDescent="0.3">
      <c r="A59" s="5" t="s">
        <v>61</v>
      </c>
    </row>
    <row r="60" spans="1:2" x14ac:dyDescent="0.3">
      <c r="A60" s="1" t="s">
        <v>4</v>
      </c>
      <c r="B60" t="s">
        <v>60</v>
      </c>
    </row>
    <row r="61" spans="1:2" x14ac:dyDescent="0.3">
      <c r="A61" s="5" t="s">
        <v>59</v>
      </c>
      <c r="B61" s="9">
        <v>273</v>
      </c>
    </row>
    <row r="62" spans="1:2" x14ac:dyDescent="0.3">
      <c r="A62" s="5" t="s">
        <v>58</v>
      </c>
      <c r="B62" s="9">
        <v>206</v>
      </c>
    </row>
    <row r="63" spans="1:2" x14ac:dyDescent="0.3">
      <c r="A63" s="5" t="s">
        <v>3</v>
      </c>
      <c r="B63" s="9">
        <v>479</v>
      </c>
    </row>
    <row r="65" spans="1:2" x14ac:dyDescent="0.3">
      <c r="A65" s="5" t="s">
        <v>65</v>
      </c>
    </row>
    <row r="66" spans="1:2" x14ac:dyDescent="0.3">
      <c r="A66" s="1" t="s">
        <v>4</v>
      </c>
      <c r="B66" t="s">
        <v>64</v>
      </c>
    </row>
    <row r="67" spans="1:2" x14ac:dyDescent="0.3">
      <c r="A67" s="5" t="s">
        <v>62</v>
      </c>
      <c r="B67" s="9">
        <v>235</v>
      </c>
    </row>
    <row r="68" spans="1:2" x14ac:dyDescent="0.3">
      <c r="A68" s="5" t="s">
        <v>63</v>
      </c>
      <c r="B68" s="9">
        <v>244</v>
      </c>
    </row>
    <row r="69" spans="1:2" x14ac:dyDescent="0.3">
      <c r="A69" s="5" t="s">
        <v>3</v>
      </c>
      <c r="B69" s="9">
        <v>479</v>
      </c>
    </row>
    <row r="72" spans="1:2" x14ac:dyDescent="0.3">
      <c r="A72" s="1" t="s">
        <v>4</v>
      </c>
      <c r="B72" t="s">
        <v>74</v>
      </c>
    </row>
    <row r="73" spans="1:2" x14ac:dyDescent="0.3">
      <c r="A73" s="5" t="s">
        <v>73</v>
      </c>
      <c r="B73" s="9">
        <v>4</v>
      </c>
    </row>
    <row r="74" spans="1:2" x14ac:dyDescent="0.3">
      <c r="A74" s="5" t="s">
        <v>69</v>
      </c>
      <c r="B74" s="9">
        <v>11</v>
      </c>
    </row>
    <row r="75" spans="1:2" x14ac:dyDescent="0.3">
      <c r="A75" s="5" t="s">
        <v>72</v>
      </c>
      <c r="B75" s="9">
        <v>11</v>
      </c>
    </row>
    <row r="76" spans="1:2" x14ac:dyDescent="0.3">
      <c r="A76" s="5" t="s">
        <v>67</v>
      </c>
      <c r="B76" s="9">
        <v>12</v>
      </c>
    </row>
    <row r="77" spans="1:2" x14ac:dyDescent="0.3">
      <c r="A77" s="5" t="s">
        <v>66</v>
      </c>
      <c r="B77" s="9">
        <v>18</v>
      </c>
    </row>
    <row r="78" spans="1:2" x14ac:dyDescent="0.3">
      <c r="A78" s="5" t="s">
        <v>71</v>
      </c>
      <c r="B78" s="9">
        <v>45</v>
      </c>
    </row>
    <row r="79" spans="1:2" x14ac:dyDescent="0.3">
      <c r="A79" s="5" t="s">
        <v>68</v>
      </c>
      <c r="B79" s="9">
        <v>115</v>
      </c>
    </row>
    <row r="80" spans="1:2" x14ac:dyDescent="0.3">
      <c r="A80" s="5" t="s">
        <v>70</v>
      </c>
      <c r="B80" s="9">
        <v>263</v>
      </c>
    </row>
    <row r="81" spans="1:2" x14ac:dyDescent="0.3">
      <c r="A81" s="5" t="s">
        <v>3</v>
      </c>
      <c r="B81" s="9">
        <v>479</v>
      </c>
    </row>
    <row r="84" spans="1:2" x14ac:dyDescent="0.3">
      <c r="A84" s="1" t="s">
        <v>4</v>
      </c>
    </row>
    <row r="85" spans="1:2" x14ac:dyDescent="0.3">
      <c r="A85" s="5" t="s">
        <v>75</v>
      </c>
    </row>
    <row r="86" spans="1:2" x14ac:dyDescent="0.3">
      <c r="A86" s="5" t="s">
        <v>3</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F5709-2ACD-4A37-9263-8769ACF64678}">
  <dimension ref="A1:N16"/>
  <sheetViews>
    <sheetView tabSelected="1" zoomScale="77" zoomScaleNormal="172" workbookViewId="0">
      <selection activeCell="H19" sqref="H19"/>
    </sheetView>
  </sheetViews>
  <sheetFormatPr defaultRowHeight="14.4" x14ac:dyDescent="0.3"/>
  <sheetData>
    <row r="1" spans="1:14" x14ac:dyDescent="0.3">
      <c r="A1" s="3"/>
      <c r="B1" s="3"/>
      <c r="C1" s="3"/>
      <c r="D1" s="3"/>
      <c r="E1" s="3"/>
      <c r="F1" s="3"/>
      <c r="G1" s="3"/>
      <c r="H1" s="3"/>
      <c r="I1" s="3"/>
      <c r="J1" s="3"/>
      <c r="K1" s="3"/>
      <c r="L1" s="3"/>
      <c r="M1" s="3"/>
      <c r="N1" s="3"/>
    </row>
    <row r="2" spans="1:14" x14ac:dyDescent="0.3">
      <c r="A2" s="3"/>
      <c r="B2" s="3"/>
      <c r="C2" s="3"/>
      <c r="D2" s="3"/>
      <c r="E2" s="3"/>
      <c r="F2" s="3"/>
      <c r="G2" s="3"/>
      <c r="H2" s="3"/>
      <c r="I2" s="3"/>
      <c r="J2" s="3"/>
      <c r="K2" s="3"/>
      <c r="L2" s="3"/>
      <c r="M2" s="3"/>
      <c r="N2" s="3"/>
    </row>
    <row r="3" spans="1:14" x14ac:dyDescent="0.3">
      <c r="A3" s="3"/>
      <c r="B3" s="3"/>
      <c r="C3" s="3"/>
      <c r="D3" s="3"/>
      <c r="E3" s="3"/>
      <c r="F3" s="3"/>
      <c r="G3" s="3"/>
      <c r="H3" s="3"/>
      <c r="I3" s="3"/>
      <c r="J3" s="3"/>
      <c r="K3" s="3"/>
      <c r="L3" s="3"/>
      <c r="M3" s="3"/>
      <c r="N3" s="3"/>
    </row>
    <row r="4" spans="1:14" x14ac:dyDescent="0.3">
      <c r="A4" s="3"/>
      <c r="B4" s="3"/>
      <c r="C4" s="3"/>
      <c r="D4" s="3"/>
      <c r="E4" s="3"/>
      <c r="F4" s="3"/>
      <c r="G4" s="3"/>
      <c r="H4" s="3"/>
      <c r="I4" s="3"/>
      <c r="J4" s="3"/>
      <c r="K4" s="3"/>
      <c r="L4" s="3"/>
      <c r="M4" s="3"/>
      <c r="N4" s="3"/>
    </row>
    <row r="5" spans="1:14" x14ac:dyDescent="0.3">
      <c r="A5" s="3"/>
      <c r="B5" s="3"/>
      <c r="C5" s="3"/>
      <c r="D5" s="3"/>
      <c r="E5" s="3"/>
      <c r="F5" s="3"/>
      <c r="G5" s="3"/>
      <c r="H5" s="3"/>
      <c r="I5" s="3"/>
      <c r="J5" s="3"/>
      <c r="K5" s="3"/>
      <c r="L5" s="3"/>
      <c r="M5" s="3"/>
      <c r="N5" s="3"/>
    </row>
    <row r="6" spans="1:14" x14ac:dyDescent="0.3">
      <c r="A6" s="3"/>
      <c r="B6" s="3"/>
      <c r="C6" s="3"/>
      <c r="D6" s="3"/>
      <c r="E6" s="3"/>
      <c r="F6" s="3"/>
      <c r="G6" s="3"/>
      <c r="H6" s="3"/>
      <c r="I6" s="3"/>
      <c r="J6" s="3"/>
      <c r="K6" s="3"/>
      <c r="L6" s="3"/>
      <c r="M6" s="3"/>
      <c r="N6" s="3"/>
    </row>
    <row r="7" spans="1:14" x14ac:dyDescent="0.3">
      <c r="A7" s="3"/>
      <c r="B7" s="3"/>
      <c r="C7" s="3"/>
      <c r="D7" s="3"/>
      <c r="E7" s="3"/>
      <c r="F7" s="3"/>
      <c r="G7" s="3"/>
      <c r="H7" s="3"/>
      <c r="I7" s="3"/>
      <c r="J7" s="3"/>
      <c r="K7" s="3"/>
      <c r="L7" s="3"/>
      <c r="M7" s="3"/>
      <c r="N7" s="3"/>
    </row>
    <row r="8" spans="1:14" x14ac:dyDescent="0.3">
      <c r="A8" s="3"/>
      <c r="B8" s="3"/>
      <c r="C8" s="3"/>
      <c r="D8" s="3"/>
      <c r="E8" s="3"/>
      <c r="F8" s="3"/>
      <c r="G8" s="3"/>
      <c r="H8" s="3"/>
      <c r="I8" s="3"/>
      <c r="J8" s="3"/>
      <c r="K8" s="3"/>
      <c r="L8" s="3"/>
      <c r="M8" s="3"/>
      <c r="N8" s="3"/>
    </row>
    <row r="9" spans="1:14" x14ac:dyDescent="0.3">
      <c r="A9" s="3"/>
      <c r="B9" s="3"/>
      <c r="C9" s="3"/>
      <c r="D9" s="3"/>
      <c r="E9" s="3"/>
      <c r="F9" s="3"/>
      <c r="G9" s="3"/>
      <c r="H9" s="3"/>
      <c r="I9" s="3"/>
      <c r="J9" s="3"/>
      <c r="K9" s="3"/>
      <c r="L9" s="3"/>
      <c r="M9" s="3"/>
      <c r="N9" s="3"/>
    </row>
    <row r="10" spans="1:14" x14ac:dyDescent="0.3">
      <c r="A10" s="3"/>
      <c r="B10" s="3"/>
      <c r="C10" s="3"/>
      <c r="D10" s="3"/>
      <c r="E10" s="3"/>
      <c r="F10" s="3"/>
      <c r="G10" s="3"/>
      <c r="H10" s="3"/>
      <c r="I10" s="3"/>
      <c r="J10" s="3"/>
      <c r="K10" s="3"/>
      <c r="L10" s="3"/>
      <c r="M10" s="3"/>
      <c r="N10" s="3"/>
    </row>
    <row r="11" spans="1:14" x14ac:dyDescent="0.3">
      <c r="A11" s="3"/>
      <c r="B11" s="3"/>
      <c r="C11" s="3"/>
      <c r="D11" s="3"/>
      <c r="E11" s="3"/>
      <c r="F11" s="3"/>
      <c r="G11" s="3"/>
      <c r="H11" s="3"/>
      <c r="I11" s="3"/>
      <c r="J11" s="3"/>
      <c r="K11" s="3"/>
      <c r="L11" s="3"/>
      <c r="M11" s="3"/>
      <c r="N11" s="3"/>
    </row>
    <row r="12" spans="1:14" x14ac:dyDescent="0.3">
      <c r="A12" s="3"/>
      <c r="B12" s="3"/>
      <c r="C12" s="3"/>
      <c r="D12" s="3"/>
      <c r="E12" s="3"/>
      <c r="F12" s="3"/>
      <c r="G12" s="3"/>
      <c r="H12" s="3"/>
      <c r="I12" s="3"/>
      <c r="J12" s="3"/>
      <c r="K12" s="3"/>
      <c r="L12" s="3"/>
      <c r="M12" s="3"/>
      <c r="N12" s="3"/>
    </row>
    <row r="13" spans="1:14" x14ac:dyDescent="0.3">
      <c r="A13" s="3"/>
      <c r="B13" s="3"/>
      <c r="C13" s="3"/>
      <c r="D13" s="3"/>
      <c r="E13" s="3"/>
      <c r="F13" s="3"/>
      <c r="G13" s="3"/>
      <c r="H13" s="3"/>
      <c r="I13" s="3"/>
      <c r="J13" s="3"/>
      <c r="K13" s="3"/>
      <c r="L13" s="3"/>
      <c r="M13" s="3"/>
      <c r="N13" s="3"/>
    </row>
    <row r="14" spans="1:14" x14ac:dyDescent="0.3">
      <c r="A14" s="3"/>
      <c r="B14" s="3"/>
      <c r="C14" s="3"/>
      <c r="D14" s="3"/>
      <c r="E14" s="3"/>
      <c r="F14" s="3"/>
      <c r="G14" s="3"/>
      <c r="H14" s="3"/>
      <c r="I14" s="3"/>
      <c r="J14" s="3"/>
      <c r="K14" s="3"/>
      <c r="L14" s="3"/>
      <c r="M14" s="3"/>
      <c r="N14" s="3"/>
    </row>
    <row r="15" spans="1:14" x14ac:dyDescent="0.3">
      <c r="A15" s="3"/>
      <c r="B15" s="3"/>
      <c r="C15" s="3"/>
      <c r="D15" s="3"/>
      <c r="E15" s="3"/>
      <c r="F15" s="3"/>
      <c r="G15" s="3"/>
      <c r="H15" s="3"/>
      <c r="I15" s="3"/>
      <c r="J15" s="3"/>
      <c r="K15" s="3"/>
      <c r="L15" s="3"/>
      <c r="M15" s="3"/>
      <c r="N15" s="3"/>
    </row>
    <row r="16" spans="1:14" x14ac:dyDescent="0.3">
      <c r="A16" s="4"/>
      <c r="B16" s="4"/>
      <c r="C16" s="4"/>
      <c r="D16" s="4"/>
      <c r="E16" s="4"/>
      <c r="F16" s="4"/>
      <c r="G16" s="4"/>
      <c r="H16" s="4"/>
      <c r="I16" s="4"/>
      <c r="J16" s="4"/>
      <c r="K16" s="4"/>
      <c r="L16" s="4"/>
      <c r="M16" s="4"/>
      <c r="N16" s="4"/>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CD2DD-E0AB-4480-8795-685F6D767415}">
  <dimension ref="A1:Q23"/>
  <sheetViews>
    <sheetView zoomScale="119" workbookViewId="0"/>
  </sheetViews>
  <sheetFormatPr defaultRowHeight="14.4" x14ac:dyDescent="0.3"/>
  <sheetData>
    <row r="1" spans="1:17" x14ac:dyDescent="0.3">
      <c r="A1" s="8"/>
      <c r="B1" s="8"/>
      <c r="C1" s="8"/>
      <c r="D1" s="8"/>
      <c r="E1" s="8"/>
      <c r="F1" s="8"/>
      <c r="G1" s="8"/>
      <c r="H1" s="8"/>
      <c r="I1" s="8"/>
      <c r="J1" s="8"/>
      <c r="K1" s="8"/>
      <c r="L1" s="8"/>
      <c r="M1" s="8"/>
      <c r="N1" s="8"/>
      <c r="O1" s="8"/>
      <c r="P1" s="8"/>
      <c r="Q1" s="8"/>
    </row>
    <row r="2" spans="1:17" x14ac:dyDescent="0.3">
      <c r="A2" s="8"/>
      <c r="B2" s="8"/>
      <c r="C2" s="8"/>
      <c r="D2" s="8"/>
      <c r="E2" s="8"/>
      <c r="F2" s="8"/>
      <c r="G2" s="8"/>
      <c r="H2" s="8"/>
      <c r="I2" s="8"/>
      <c r="J2" s="8"/>
      <c r="K2" s="8"/>
      <c r="L2" s="8"/>
      <c r="M2" s="8"/>
      <c r="N2" s="8"/>
      <c r="O2" s="8"/>
      <c r="P2" s="8"/>
      <c r="Q2" s="8"/>
    </row>
    <row r="3" spans="1:17" x14ac:dyDescent="0.3">
      <c r="A3" s="8"/>
      <c r="B3" s="8"/>
      <c r="C3" s="8"/>
      <c r="D3" s="8"/>
      <c r="E3" s="8"/>
      <c r="F3" s="8"/>
      <c r="G3" s="8"/>
      <c r="H3" s="8"/>
      <c r="I3" s="8"/>
      <c r="J3" s="8"/>
      <c r="K3" s="8"/>
      <c r="L3" s="8"/>
      <c r="M3" s="8"/>
      <c r="N3" s="8"/>
      <c r="O3" s="8"/>
      <c r="P3" s="8"/>
      <c r="Q3" s="8"/>
    </row>
    <row r="4" spans="1:17" x14ac:dyDescent="0.3">
      <c r="A4" s="8"/>
      <c r="B4" s="8"/>
      <c r="C4" s="8"/>
      <c r="D4" s="8"/>
      <c r="E4" s="8"/>
      <c r="F4" s="8"/>
      <c r="G4" s="8"/>
      <c r="H4" s="8"/>
      <c r="I4" s="8"/>
      <c r="J4" s="8"/>
      <c r="K4" s="8"/>
      <c r="L4" s="8"/>
      <c r="M4" s="8"/>
      <c r="N4" s="8"/>
      <c r="O4" s="8"/>
      <c r="P4" s="8"/>
      <c r="Q4" s="8"/>
    </row>
    <row r="5" spans="1:17" x14ac:dyDescent="0.3">
      <c r="A5" s="8"/>
      <c r="B5" s="8"/>
      <c r="C5" s="8"/>
      <c r="D5" s="8"/>
      <c r="E5" s="8"/>
      <c r="F5" s="8"/>
      <c r="G5" s="8"/>
      <c r="H5" s="8"/>
      <c r="I5" s="8"/>
      <c r="J5" s="8"/>
      <c r="K5" s="8"/>
      <c r="L5" s="8"/>
      <c r="M5" s="8"/>
      <c r="N5" s="8"/>
      <c r="O5" s="8"/>
      <c r="P5" s="8"/>
      <c r="Q5" s="8"/>
    </row>
    <row r="6" spans="1:17" x14ac:dyDescent="0.3">
      <c r="A6" s="8"/>
      <c r="B6" s="8"/>
      <c r="C6" s="8"/>
      <c r="D6" s="8"/>
      <c r="E6" s="8"/>
      <c r="F6" s="8"/>
      <c r="G6" s="8"/>
      <c r="H6" s="8"/>
      <c r="I6" s="8"/>
      <c r="J6" s="8"/>
      <c r="K6" s="8"/>
      <c r="L6" s="8"/>
      <c r="M6" s="8"/>
      <c r="N6" s="8"/>
      <c r="O6" s="8"/>
      <c r="P6" s="8"/>
      <c r="Q6" s="8"/>
    </row>
    <row r="7" spans="1:17" x14ac:dyDescent="0.3">
      <c r="A7" s="8"/>
      <c r="B7" s="8"/>
      <c r="C7" s="8"/>
      <c r="D7" s="8"/>
      <c r="E7" s="8"/>
      <c r="F7" s="8"/>
      <c r="G7" s="8"/>
      <c r="H7" s="8"/>
      <c r="I7" s="8"/>
      <c r="J7" s="8"/>
      <c r="K7" s="8"/>
      <c r="L7" s="8"/>
      <c r="M7" s="8"/>
      <c r="N7" s="8"/>
      <c r="O7" s="8"/>
      <c r="P7" s="8"/>
      <c r="Q7" s="8"/>
    </row>
    <row r="8" spans="1:17" x14ac:dyDescent="0.3">
      <c r="A8" s="8"/>
      <c r="B8" s="8"/>
      <c r="C8" s="8"/>
      <c r="D8" s="8"/>
      <c r="E8" s="8"/>
      <c r="F8" s="8"/>
      <c r="G8" s="8"/>
      <c r="H8" s="8"/>
      <c r="I8" s="8"/>
      <c r="J8" s="8"/>
      <c r="K8" s="8"/>
      <c r="L8" s="8"/>
      <c r="M8" s="8"/>
      <c r="N8" s="8"/>
      <c r="O8" s="8"/>
      <c r="P8" s="8"/>
      <c r="Q8" s="8"/>
    </row>
    <row r="9" spans="1:17" x14ac:dyDescent="0.3">
      <c r="A9" s="8"/>
      <c r="B9" s="8"/>
      <c r="C9" s="8"/>
      <c r="D9" s="8"/>
      <c r="E9" s="8"/>
      <c r="F9" s="8"/>
      <c r="G9" s="8"/>
      <c r="H9" s="8"/>
      <c r="I9" s="8"/>
      <c r="J9" s="8"/>
      <c r="K9" s="8"/>
      <c r="L9" s="8"/>
      <c r="M9" s="8"/>
      <c r="N9" s="8"/>
      <c r="O9" s="8"/>
      <c r="P9" s="8"/>
      <c r="Q9" s="8"/>
    </row>
    <row r="10" spans="1:17" x14ac:dyDescent="0.3">
      <c r="A10" s="8"/>
      <c r="B10" s="8"/>
      <c r="C10" s="8"/>
      <c r="D10" s="8"/>
      <c r="E10" s="8"/>
      <c r="F10" s="8"/>
      <c r="G10" s="8"/>
      <c r="H10" s="8"/>
      <c r="I10" s="8"/>
      <c r="J10" s="8"/>
      <c r="K10" s="8"/>
      <c r="L10" s="8"/>
      <c r="M10" s="8"/>
      <c r="N10" s="8"/>
      <c r="O10" s="8"/>
      <c r="P10" s="8"/>
      <c r="Q10" s="8"/>
    </row>
    <row r="11" spans="1:17" x14ac:dyDescent="0.3">
      <c r="A11" s="8"/>
      <c r="B11" s="8"/>
      <c r="C11" s="8"/>
      <c r="D11" s="8"/>
      <c r="E11" s="8"/>
      <c r="F11" s="8"/>
      <c r="G11" s="8"/>
      <c r="H11" s="8"/>
      <c r="I11" s="8"/>
      <c r="J11" s="8"/>
      <c r="K11" s="8"/>
      <c r="L11" s="8"/>
      <c r="M11" s="8"/>
      <c r="N11" s="8"/>
      <c r="O11" s="8"/>
      <c r="P11" s="8"/>
      <c r="Q11" s="8"/>
    </row>
    <row r="12" spans="1:17" x14ac:dyDescent="0.3">
      <c r="A12" s="8"/>
      <c r="B12" s="8"/>
      <c r="C12" s="8"/>
      <c r="D12" s="8"/>
      <c r="E12" s="8"/>
      <c r="F12" s="8"/>
      <c r="G12" s="8"/>
      <c r="H12" s="8"/>
      <c r="I12" s="8"/>
      <c r="J12" s="8"/>
      <c r="K12" s="8"/>
      <c r="L12" s="8"/>
      <c r="M12" s="8"/>
      <c r="N12" s="8"/>
      <c r="O12" s="8"/>
      <c r="P12" s="8"/>
      <c r="Q12" s="8"/>
    </row>
    <row r="13" spans="1:17" x14ac:dyDescent="0.3">
      <c r="A13" s="8"/>
      <c r="B13" s="8"/>
      <c r="C13" s="8"/>
      <c r="D13" s="8"/>
      <c r="E13" s="8"/>
      <c r="F13" s="8"/>
      <c r="G13" s="8"/>
      <c r="H13" s="8"/>
      <c r="I13" s="8"/>
      <c r="J13" s="8"/>
      <c r="K13" s="8"/>
      <c r="L13" s="8"/>
      <c r="M13" s="8"/>
      <c r="N13" s="8"/>
      <c r="O13" s="8"/>
      <c r="P13" s="8"/>
      <c r="Q13" s="8"/>
    </row>
    <row r="14" spans="1:17" x14ac:dyDescent="0.3">
      <c r="A14" s="8"/>
      <c r="B14" s="8"/>
      <c r="C14" s="8"/>
      <c r="D14" s="8"/>
      <c r="E14" s="8"/>
      <c r="F14" s="8"/>
      <c r="G14" s="8"/>
      <c r="H14" s="8"/>
      <c r="I14" s="8"/>
      <c r="J14" s="8"/>
      <c r="K14" s="8"/>
      <c r="L14" s="8"/>
      <c r="M14" s="8"/>
      <c r="N14" s="8"/>
      <c r="O14" s="8"/>
      <c r="P14" s="8"/>
      <c r="Q14" s="8"/>
    </row>
    <row r="15" spans="1:17" x14ac:dyDescent="0.3">
      <c r="A15" s="8"/>
      <c r="B15" s="8"/>
      <c r="C15" s="8"/>
      <c r="D15" s="8"/>
      <c r="E15" s="8"/>
      <c r="F15" s="8"/>
      <c r="G15" s="8"/>
      <c r="H15" s="8"/>
      <c r="I15" s="8"/>
      <c r="J15" s="8"/>
      <c r="K15" s="8"/>
      <c r="L15" s="8"/>
      <c r="M15" s="8"/>
      <c r="N15" s="8"/>
      <c r="O15" s="8"/>
      <c r="P15" s="8"/>
      <c r="Q15" s="8"/>
    </row>
    <row r="16" spans="1:17" x14ac:dyDescent="0.3">
      <c r="A16" s="8"/>
      <c r="B16" s="8"/>
      <c r="C16" s="8"/>
      <c r="D16" s="8"/>
      <c r="E16" s="8"/>
      <c r="F16" s="8"/>
      <c r="G16" s="8"/>
      <c r="H16" s="8"/>
      <c r="I16" s="8"/>
      <c r="J16" s="8"/>
      <c r="K16" s="8"/>
      <c r="L16" s="8"/>
      <c r="M16" s="8"/>
      <c r="N16" s="8"/>
      <c r="O16" s="8"/>
      <c r="P16" s="8"/>
      <c r="Q16" s="8"/>
    </row>
    <row r="17" spans="1:17" x14ac:dyDescent="0.3">
      <c r="A17" s="8"/>
      <c r="B17" s="8"/>
      <c r="C17" s="8"/>
      <c r="D17" s="8"/>
      <c r="E17" s="8"/>
      <c r="F17" s="8"/>
      <c r="G17" s="8"/>
      <c r="H17" s="8"/>
      <c r="I17" s="8"/>
      <c r="J17" s="8"/>
      <c r="K17" s="8"/>
      <c r="L17" s="8"/>
      <c r="M17" s="8"/>
      <c r="N17" s="8"/>
      <c r="O17" s="8"/>
      <c r="P17" s="8"/>
      <c r="Q17" s="8"/>
    </row>
    <row r="18" spans="1:17" x14ac:dyDescent="0.3">
      <c r="A18" s="8"/>
      <c r="B18" s="8"/>
      <c r="C18" s="8"/>
      <c r="D18" s="8"/>
      <c r="E18" s="8"/>
      <c r="F18" s="8"/>
      <c r="G18" s="8"/>
      <c r="H18" s="8"/>
      <c r="I18" s="8"/>
      <c r="J18" s="8"/>
      <c r="K18" s="8"/>
      <c r="L18" s="8"/>
      <c r="M18" s="8"/>
      <c r="N18" s="8"/>
      <c r="O18" s="8"/>
      <c r="P18" s="8"/>
      <c r="Q18" s="8"/>
    </row>
    <row r="19" spans="1:17" x14ac:dyDescent="0.3">
      <c r="A19" s="8"/>
      <c r="B19" s="8"/>
      <c r="C19" s="8"/>
      <c r="D19" s="8"/>
      <c r="E19" s="8"/>
      <c r="F19" s="8"/>
      <c r="G19" s="8"/>
      <c r="H19" s="8"/>
      <c r="I19" s="8"/>
      <c r="J19" s="8"/>
      <c r="K19" s="8"/>
      <c r="L19" s="8"/>
      <c r="M19" s="8"/>
      <c r="N19" s="8"/>
      <c r="O19" s="8"/>
      <c r="P19" s="8"/>
      <c r="Q19" s="8"/>
    </row>
    <row r="20" spans="1:17" x14ac:dyDescent="0.3">
      <c r="A20" s="8"/>
      <c r="B20" s="8"/>
      <c r="C20" s="8"/>
      <c r="D20" s="8"/>
      <c r="E20" s="8"/>
      <c r="F20" s="8"/>
      <c r="G20" s="8"/>
      <c r="H20" s="8"/>
      <c r="I20" s="8"/>
      <c r="J20" s="8"/>
      <c r="K20" s="8"/>
      <c r="L20" s="8"/>
      <c r="M20" s="8"/>
      <c r="N20" s="8"/>
      <c r="O20" s="8"/>
      <c r="P20" s="8"/>
      <c r="Q20" s="8"/>
    </row>
    <row r="21" spans="1:17" x14ac:dyDescent="0.3">
      <c r="A21" s="8"/>
      <c r="B21" s="8" t="s">
        <v>8</v>
      </c>
      <c r="C21" s="8"/>
      <c r="D21" s="8"/>
      <c r="E21" s="8"/>
      <c r="F21" s="8"/>
      <c r="G21" s="8"/>
      <c r="H21" s="8"/>
      <c r="I21" s="8"/>
      <c r="J21" s="8"/>
      <c r="K21" s="8"/>
      <c r="L21" s="8"/>
      <c r="M21" s="8"/>
      <c r="N21" s="8"/>
      <c r="O21" s="8"/>
      <c r="P21" s="8"/>
      <c r="Q21" s="8"/>
    </row>
    <row r="22" spans="1:17" x14ac:dyDescent="0.3">
      <c r="A22" s="8"/>
      <c r="B22" s="8"/>
      <c r="C22" s="8"/>
      <c r="D22" s="8"/>
      <c r="E22" s="8"/>
      <c r="F22" s="8"/>
      <c r="G22" s="8"/>
      <c r="H22" s="8"/>
      <c r="I22" s="8"/>
      <c r="J22" s="8"/>
      <c r="K22" s="8"/>
      <c r="L22" s="8"/>
      <c r="M22" s="8"/>
      <c r="N22" s="8"/>
      <c r="O22" s="8"/>
      <c r="P22" s="8"/>
      <c r="Q22" s="8"/>
    </row>
    <row r="23" spans="1:17" x14ac:dyDescent="0.3">
      <c r="A23" s="8"/>
      <c r="B23" s="8"/>
      <c r="C23" s="8"/>
      <c r="D23" s="8"/>
      <c r="E23" s="8"/>
      <c r="F23" s="8"/>
      <c r="G23" s="8"/>
      <c r="H23" s="8"/>
      <c r="I23" s="8"/>
      <c r="J23" s="8"/>
      <c r="K23" s="8"/>
      <c r="L23" s="8"/>
      <c r="M23" s="8"/>
      <c r="N23" s="8"/>
      <c r="O23" s="8"/>
      <c r="P23" s="8"/>
      <c r="Q23" s="8"/>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44E01-085E-443E-BCD0-891850BE91ED}">
  <dimension ref="A1:O23"/>
  <sheetViews>
    <sheetView zoomScale="115" workbookViewId="0"/>
  </sheetViews>
  <sheetFormatPr defaultRowHeight="14.4" x14ac:dyDescent="0.3"/>
  <sheetData>
    <row r="1" spans="1:15" x14ac:dyDescent="0.3">
      <c r="A1" s="6" t="s">
        <v>5</v>
      </c>
      <c r="B1" s="6"/>
      <c r="C1" s="6"/>
      <c r="D1" s="6"/>
      <c r="E1" s="6"/>
      <c r="F1" s="6"/>
      <c r="G1" s="6"/>
      <c r="H1" s="6"/>
      <c r="I1" s="6"/>
      <c r="J1" s="6"/>
      <c r="K1" s="6"/>
      <c r="L1" s="6"/>
      <c r="M1" s="6"/>
      <c r="N1" s="6"/>
      <c r="O1" s="6"/>
    </row>
    <row r="2" spans="1:15" x14ac:dyDescent="0.3">
      <c r="A2" s="6"/>
      <c r="B2" s="6"/>
      <c r="C2" s="6"/>
      <c r="D2" s="6"/>
      <c r="E2" s="6"/>
      <c r="F2" s="6"/>
      <c r="G2" s="6"/>
      <c r="H2" s="6"/>
      <c r="I2" s="6"/>
      <c r="J2" s="6"/>
      <c r="K2" s="6"/>
      <c r="L2" s="6"/>
      <c r="M2" s="6"/>
      <c r="N2" s="6"/>
      <c r="O2" s="6"/>
    </row>
    <row r="3" spans="1:15" x14ac:dyDescent="0.3">
      <c r="A3" s="6"/>
      <c r="B3" s="6"/>
      <c r="C3" s="6"/>
      <c r="D3" s="6"/>
      <c r="E3" s="6"/>
      <c r="F3" s="6"/>
      <c r="G3" s="6"/>
      <c r="H3" s="6"/>
      <c r="I3" s="6"/>
      <c r="J3" s="6"/>
      <c r="K3" s="6"/>
      <c r="L3" s="6"/>
      <c r="M3" s="6"/>
      <c r="N3" s="6"/>
      <c r="O3" s="6"/>
    </row>
    <row r="4" spans="1:15" x14ac:dyDescent="0.3">
      <c r="A4" s="6"/>
      <c r="B4" s="6"/>
      <c r="C4" s="6"/>
      <c r="D4" s="6"/>
      <c r="E4" s="6"/>
      <c r="F4" s="6"/>
      <c r="G4" s="6"/>
      <c r="H4" s="6"/>
      <c r="I4" s="6"/>
      <c r="J4" s="6"/>
      <c r="K4" s="6"/>
      <c r="L4" s="6"/>
      <c r="M4" s="6"/>
      <c r="N4" s="6"/>
      <c r="O4" s="6"/>
    </row>
    <row r="5" spans="1:15" x14ac:dyDescent="0.3">
      <c r="A5" s="6"/>
      <c r="B5" s="6"/>
      <c r="C5" s="6"/>
      <c r="D5" s="6"/>
      <c r="E5" s="6"/>
      <c r="F5" s="6"/>
      <c r="G5" s="6"/>
      <c r="H5" s="6"/>
      <c r="I5" s="6"/>
      <c r="J5" s="6"/>
      <c r="K5" s="6"/>
      <c r="L5" s="6"/>
      <c r="M5" s="6"/>
      <c r="N5" s="6"/>
      <c r="O5" s="6"/>
    </row>
    <row r="6" spans="1:15" x14ac:dyDescent="0.3">
      <c r="A6" s="6"/>
      <c r="B6" s="6"/>
      <c r="C6" s="6"/>
      <c r="D6" s="6"/>
      <c r="E6" s="6"/>
      <c r="F6" s="6"/>
      <c r="G6" s="6"/>
      <c r="H6" s="6"/>
      <c r="I6" s="6"/>
      <c r="J6" s="6"/>
      <c r="K6" s="6"/>
      <c r="L6" s="6"/>
      <c r="M6" s="6"/>
      <c r="N6" s="6"/>
      <c r="O6" s="6"/>
    </row>
    <row r="7" spans="1:15" x14ac:dyDescent="0.3">
      <c r="A7" s="6"/>
      <c r="B7" s="6"/>
      <c r="C7" s="6"/>
      <c r="D7" s="6"/>
      <c r="E7" s="6"/>
      <c r="F7" s="6"/>
      <c r="G7" s="6"/>
      <c r="H7" s="6"/>
      <c r="I7" s="6"/>
      <c r="J7" s="6"/>
      <c r="K7" s="6"/>
      <c r="L7" s="6"/>
      <c r="M7" s="6"/>
      <c r="N7" s="6"/>
      <c r="O7" s="6"/>
    </row>
    <row r="8" spans="1:15" x14ac:dyDescent="0.3">
      <c r="A8" s="6"/>
      <c r="B8" s="6"/>
      <c r="C8" s="6"/>
      <c r="D8" s="6"/>
      <c r="E8" s="6"/>
      <c r="F8" s="6"/>
      <c r="G8" s="6"/>
      <c r="H8" s="6"/>
      <c r="I8" s="6"/>
      <c r="J8" s="6"/>
      <c r="K8" s="6"/>
      <c r="L8" s="6"/>
      <c r="M8" s="6"/>
      <c r="N8" s="6"/>
      <c r="O8" s="6"/>
    </row>
    <row r="9" spans="1:15" x14ac:dyDescent="0.3">
      <c r="A9" s="6"/>
      <c r="B9" s="6"/>
      <c r="C9" s="6"/>
      <c r="D9" s="6"/>
      <c r="E9" s="6"/>
      <c r="F9" s="6"/>
      <c r="G9" s="6"/>
      <c r="H9" s="6"/>
      <c r="I9" s="6"/>
      <c r="J9" s="6"/>
      <c r="K9" s="6"/>
      <c r="L9" s="6"/>
      <c r="M9" s="6"/>
      <c r="N9" s="6"/>
      <c r="O9" s="6"/>
    </row>
    <row r="10" spans="1:15" x14ac:dyDescent="0.3">
      <c r="A10" s="6"/>
      <c r="B10" s="6"/>
      <c r="C10" s="6"/>
      <c r="D10" s="6"/>
      <c r="E10" s="6"/>
      <c r="F10" s="6"/>
      <c r="G10" s="6"/>
      <c r="H10" s="6"/>
      <c r="I10" s="6"/>
      <c r="J10" s="6"/>
      <c r="K10" s="6"/>
      <c r="L10" s="6"/>
      <c r="M10" s="6"/>
      <c r="N10" s="6"/>
      <c r="O10" s="6"/>
    </row>
    <row r="11" spans="1:15" x14ac:dyDescent="0.3">
      <c r="A11" s="6"/>
      <c r="B11" s="6"/>
      <c r="C11" s="6"/>
      <c r="D11" s="6"/>
      <c r="E11" s="6"/>
      <c r="F11" s="6"/>
      <c r="G11" s="6"/>
      <c r="H11" s="6"/>
      <c r="I11" s="6"/>
      <c r="J11" s="6"/>
      <c r="K11" s="6"/>
      <c r="L11" s="6"/>
      <c r="M11" s="6"/>
      <c r="N11" s="6"/>
      <c r="O11" s="6"/>
    </row>
    <row r="12" spans="1:15" x14ac:dyDescent="0.3">
      <c r="A12" s="6"/>
      <c r="B12" s="6"/>
      <c r="C12" s="6"/>
      <c r="D12" s="6"/>
      <c r="E12" s="6"/>
      <c r="F12" s="6"/>
      <c r="G12" s="6"/>
      <c r="H12" s="6"/>
      <c r="I12" s="6"/>
      <c r="J12" s="6"/>
      <c r="K12" s="6"/>
      <c r="L12" s="6"/>
      <c r="M12" s="6"/>
      <c r="N12" s="6"/>
      <c r="O12" s="6"/>
    </row>
    <row r="13" spans="1:15" x14ac:dyDescent="0.3">
      <c r="A13" s="6"/>
      <c r="B13" s="6"/>
      <c r="C13" s="6"/>
      <c r="D13" s="6"/>
      <c r="E13" s="6"/>
      <c r="F13" s="6"/>
      <c r="G13" s="6"/>
      <c r="H13" s="6"/>
      <c r="I13" s="6"/>
      <c r="J13" s="6"/>
      <c r="K13" s="6"/>
      <c r="L13" s="6"/>
      <c r="M13" s="6"/>
      <c r="N13" s="6"/>
      <c r="O13" s="6"/>
    </row>
    <row r="14" spans="1:15" x14ac:dyDescent="0.3">
      <c r="A14" s="6"/>
      <c r="B14" s="6"/>
      <c r="C14" s="6"/>
      <c r="D14" s="6"/>
      <c r="E14" s="6"/>
      <c r="F14" s="6"/>
      <c r="G14" s="6"/>
      <c r="H14" s="6"/>
      <c r="I14" s="6"/>
      <c r="J14" s="6"/>
      <c r="K14" s="6"/>
      <c r="L14" s="6"/>
      <c r="M14" s="6"/>
      <c r="N14" s="6"/>
      <c r="O14" s="6"/>
    </row>
    <row r="15" spans="1:15" x14ac:dyDescent="0.3">
      <c r="A15" s="6"/>
      <c r="B15" s="6"/>
      <c r="C15" s="6"/>
      <c r="D15" s="6"/>
      <c r="E15" s="6"/>
      <c r="F15" s="6"/>
      <c r="G15" s="6"/>
      <c r="H15" s="6"/>
      <c r="I15" s="6"/>
      <c r="J15" s="6"/>
      <c r="K15" s="6"/>
      <c r="L15" s="6"/>
      <c r="M15" s="6"/>
      <c r="N15" s="6"/>
      <c r="O15" s="6"/>
    </row>
    <row r="16" spans="1:15" x14ac:dyDescent="0.3">
      <c r="A16" s="6"/>
      <c r="B16" s="6"/>
      <c r="C16" s="6"/>
      <c r="D16" s="6"/>
      <c r="E16" s="6"/>
      <c r="F16" s="6"/>
      <c r="G16" s="6"/>
      <c r="H16" s="6"/>
      <c r="I16" s="6"/>
      <c r="J16" s="6"/>
      <c r="K16" s="6"/>
      <c r="L16" s="6"/>
      <c r="M16" s="6"/>
      <c r="N16" s="6"/>
      <c r="O16" s="6"/>
    </row>
    <row r="17" spans="1:15" x14ac:dyDescent="0.3">
      <c r="A17" s="6"/>
      <c r="B17" s="6"/>
      <c r="C17" s="6"/>
      <c r="D17" s="6"/>
      <c r="E17" s="6"/>
      <c r="F17" s="6"/>
      <c r="G17" s="6"/>
      <c r="H17" s="6"/>
      <c r="I17" s="6"/>
      <c r="J17" s="6"/>
      <c r="K17" s="6"/>
      <c r="L17" s="6"/>
      <c r="M17" s="6"/>
      <c r="N17" s="6"/>
      <c r="O17" s="6"/>
    </row>
    <row r="18" spans="1:15" x14ac:dyDescent="0.3">
      <c r="A18" s="6"/>
      <c r="B18" s="6"/>
      <c r="C18" s="6"/>
      <c r="D18" s="6"/>
      <c r="E18" s="6"/>
      <c r="F18" s="6"/>
      <c r="G18" s="6"/>
      <c r="H18" s="6"/>
      <c r="I18" s="6"/>
      <c r="J18" s="6"/>
      <c r="K18" s="6"/>
      <c r="L18" s="6"/>
      <c r="M18" s="6"/>
      <c r="N18" s="6"/>
      <c r="O18" s="6"/>
    </row>
    <row r="19" spans="1:15" x14ac:dyDescent="0.3">
      <c r="A19" s="6"/>
      <c r="B19" s="6"/>
      <c r="C19" s="6"/>
      <c r="D19" s="6"/>
      <c r="E19" s="6"/>
      <c r="F19" s="6"/>
      <c r="G19" s="6"/>
      <c r="H19" s="6"/>
      <c r="I19" s="6"/>
      <c r="J19" s="6"/>
      <c r="K19" s="6"/>
      <c r="L19" s="6"/>
      <c r="M19" s="6"/>
      <c r="N19" s="6"/>
      <c r="O19" s="6"/>
    </row>
    <row r="20" spans="1:15" x14ac:dyDescent="0.3">
      <c r="A20" s="6"/>
      <c r="B20" s="6"/>
      <c r="C20" s="6"/>
      <c r="D20" s="6"/>
      <c r="E20" s="6"/>
      <c r="F20" s="6"/>
      <c r="G20" s="6"/>
      <c r="H20" s="6"/>
      <c r="I20" s="6"/>
      <c r="J20" s="6"/>
      <c r="K20" s="6"/>
      <c r="L20" s="6"/>
      <c r="M20" s="6"/>
      <c r="N20" s="6"/>
      <c r="O20" s="6"/>
    </row>
    <row r="21" spans="1:15" x14ac:dyDescent="0.3">
      <c r="A21" s="6"/>
      <c r="B21" s="6"/>
      <c r="C21" s="6"/>
      <c r="D21" s="6"/>
      <c r="E21" s="6"/>
      <c r="F21" s="6"/>
      <c r="G21" s="6"/>
      <c r="H21" s="6"/>
      <c r="I21" s="6"/>
      <c r="J21" s="6"/>
      <c r="K21" s="6"/>
      <c r="L21" s="6"/>
      <c r="M21" s="6"/>
      <c r="N21" s="6"/>
      <c r="O21" s="6"/>
    </row>
    <row r="22" spans="1:15" x14ac:dyDescent="0.3">
      <c r="A22" s="6"/>
      <c r="B22" s="6"/>
      <c r="C22" s="6"/>
      <c r="D22" s="6"/>
      <c r="E22" s="6"/>
      <c r="F22" s="6"/>
      <c r="G22" s="6"/>
      <c r="H22" s="6"/>
      <c r="I22" s="6"/>
      <c r="J22" s="6"/>
      <c r="K22" s="6"/>
      <c r="L22" s="6"/>
      <c r="M22" s="6"/>
      <c r="N22" s="6"/>
      <c r="O22" s="6"/>
    </row>
    <row r="23" spans="1:15" x14ac:dyDescent="0.3">
      <c r="A23" s="6"/>
      <c r="B23" s="6"/>
      <c r="C23" s="6"/>
      <c r="D23" s="6"/>
      <c r="E23" s="6"/>
      <c r="F23" s="6"/>
      <c r="G23" s="6"/>
      <c r="H23" s="6"/>
      <c r="I23" s="6"/>
      <c r="J23" s="6"/>
      <c r="K23" s="6"/>
      <c r="L23" s="6"/>
      <c r="M23" s="6"/>
      <c r="N23" s="6"/>
      <c r="O23" s="6"/>
    </row>
  </sheetData>
  <hyperlinks>
    <hyperlink ref="A1:O23" location="Dashboard!A1" display="Dashboard!A1" xr:uid="{58EE424A-6E30-453F-9D46-731332BDD614}"/>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C4055-3FCD-4364-A12C-D708475B1C99}">
  <dimension ref="A1:Q23"/>
  <sheetViews>
    <sheetView zoomScale="94" workbookViewId="0"/>
  </sheetViews>
  <sheetFormatPr defaultRowHeight="14.4" x14ac:dyDescent="0.3"/>
  <sheetData>
    <row r="1" spans="1:17" x14ac:dyDescent="0.3">
      <c r="A1" s="8"/>
      <c r="B1" s="8"/>
      <c r="C1" s="8"/>
      <c r="D1" s="8"/>
      <c r="E1" s="8"/>
      <c r="F1" s="8"/>
      <c r="G1" s="8"/>
      <c r="H1" s="8"/>
      <c r="I1" s="8"/>
      <c r="J1" s="8"/>
      <c r="K1" s="8"/>
      <c r="L1" s="8"/>
      <c r="M1" s="8"/>
      <c r="N1" s="8"/>
      <c r="O1" s="8"/>
      <c r="P1" s="8"/>
      <c r="Q1" s="8"/>
    </row>
    <row r="2" spans="1:17" x14ac:dyDescent="0.3">
      <c r="A2" s="8"/>
      <c r="B2" s="8"/>
      <c r="C2" s="8"/>
      <c r="D2" s="8"/>
      <c r="E2" s="8"/>
      <c r="F2" s="8"/>
      <c r="G2" s="8"/>
      <c r="H2" s="8"/>
      <c r="I2" s="8"/>
      <c r="J2" s="8"/>
      <c r="K2" s="8"/>
      <c r="L2" s="8"/>
      <c r="M2" s="8"/>
      <c r="N2" s="8"/>
      <c r="O2" s="8"/>
      <c r="P2" s="8"/>
      <c r="Q2" s="8"/>
    </row>
    <row r="3" spans="1:17" x14ac:dyDescent="0.3">
      <c r="A3" s="8"/>
      <c r="B3" s="8"/>
      <c r="C3" s="8"/>
      <c r="D3" s="8"/>
      <c r="E3" s="8"/>
      <c r="F3" s="8"/>
      <c r="G3" s="8"/>
      <c r="H3" s="8"/>
      <c r="I3" s="8"/>
      <c r="J3" s="8"/>
      <c r="K3" s="8"/>
      <c r="L3" s="8"/>
      <c r="M3" s="8"/>
      <c r="N3" s="8"/>
      <c r="O3" s="8"/>
      <c r="P3" s="8"/>
      <c r="Q3" s="8"/>
    </row>
    <row r="4" spans="1:17" x14ac:dyDescent="0.3">
      <c r="A4" s="8"/>
      <c r="B4" s="8"/>
      <c r="C4" s="8"/>
      <c r="D4" s="8"/>
      <c r="E4" s="8"/>
      <c r="F4" s="8"/>
      <c r="G4" s="8"/>
      <c r="H4" s="8"/>
      <c r="I4" s="8"/>
      <c r="J4" s="8"/>
      <c r="K4" s="8"/>
      <c r="L4" s="8"/>
      <c r="M4" s="8"/>
      <c r="N4" s="8"/>
      <c r="O4" s="8"/>
      <c r="P4" s="8"/>
      <c r="Q4" s="8"/>
    </row>
    <row r="5" spans="1:17" x14ac:dyDescent="0.3">
      <c r="A5" s="8"/>
      <c r="B5" s="8"/>
      <c r="C5" s="8"/>
      <c r="D5" s="8"/>
      <c r="E5" s="8"/>
      <c r="F5" s="8"/>
      <c r="G5" s="8"/>
      <c r="H5" s="8"/>
      <c r="I5" s="8"/>
      <c r="J5" s="8"/>
      <c r="K5" s="8"/>
      <c r="L5" s="8"/>
      <c r="M5" s="8"/>
      <c r="N5" s="8"/>
      <c r="O5" s="8"/>
      <c r="P5" s="8"/>
      <c r="Q5" s="8"/>
    </row>
    <row r="6" spans="1:17" x14ac:dyDescent="0.3">
      <c r="A6" s="8"/>
      <c r="B6" s="8"/>
      <c r="C6" s="8"/>
      <c r="D6" s="8"/>
      <c r="E6" s="8"/>
      <c r="F6" s="8"/>
      <c r="G6" s="8"/>
      <c r="H6" s="8"/>
      <c r="I6" s="8"/>
      <c r="J6" s="8"/>
      <c r="K6" s="8"/>
      <c r="L6" s="8"/>
      <c r="M6" s="8"/>
      <c r="N6" s="8"/>
      <c r="O6" s="8"/>
      <c r="P6" s="8"/>
      <c r="Q6" s="8"/>
    </row>
    <row r="7" spans="1:17" x14ac:dyDescent="0.3">
      <c r="A7" s="8"/>
      <c r="B7" s="8"/>
      <c r="C7" s="8"/>
      <c r="D7" s="8"/>
      <c r="E7" s="8"/>
      <c r="F7" s="8"/>
      <c r="G7" s="8"/>
      <c r="H7" s="8"/>
      <c r="I7" s="8"/>
      <c r="J7" s="8"/>
      <c r="K7" s="8"/>
      <c r="L7" s="8"/>
      <c r="M7" s="8"/>
      <c r="N7" s="8"/>
      <c r="O7" s="8"/>
      <c r="P7" s="8"/>
      <c r="Q7" s="8"/>
    </row>
    <row r="8" spans="1:17" x14ac:dyDescent="0.3">
      <c r="A8" s="8"/>
      <c r="B8" s="8"/>
      <c r="C8" s="8"/>
      <c r="D8" s="8"/>
      <c r="E8" s="8"/>
      <c r="F8" s="8"/>
      <c r="G8" s="8"/>
      <c r="H8" s="8"/>
      <c r="I8" s="8"/>
      <c r="J8" s="8"/>
      <c r="K8" s="8"/>
      <c r="L8" s="8"/>
      <c r="M8" s="8"/>
      <c r="N8" s="8"/>
      <c r="O8" s="8"/>
      <c r="P8" s="8"/>
      <c r="Q8" s="8"/>
    </row>
    <row r="9" spans="1:17" x14ac:dyDescent="0.3">
      <c r="A9" s="8"/>
      <c r="B9" s="8"/>
      <c r="C9" s="8"/>
      <c r="D9" s="8"/>
      <c r="E9" s="8"/>
      <c r="F9" s="8"/>
      <c r="G9" s="8"/>
      <c r="H9" s="8"/>
      <c r="I9" s="8"/>
      <c r="J9" s="8"/>
      <c r="K9" s="8"/>
      <c r="L9" s="8"/>
      <c r="M9" s="8"/>
      <c r="N9" s="8"/>
      <c r="O9" s="8"/>
      <c r="P9" s="8"/>
      <c r="Q9" s="8"/>
    </row>
    <row r="10" spans="1:17" x14ac:dyDescent="0.3">
      <c r="A10" s="8"/>
      <c r="B10" s="8"/>
      <c r="C10" s="8"/>
      <c r="D10" s="8"/>
      <c r="E10" s="8"/>
      <c r="F10" s="8"/>
      <c r="G10" s="8"/>
      <c r="H10" s="8"/>
      <c r="I10" s="8"/>
      <c r="J10" s="8"/>
      <c r="K10" s="8"/>
      <c r="L10" s="8"/>
      <c r="M10" s="8"/>
      <c r="N10" s="8"/>
      <c r="O10" s="8"/>
      <c r="P10" s="8"/>
      <c r="Q10" s="8"/>
    </row>
    <row r="11" spans="1:17" x14ac:dyDescent="0.3">
      <c r="A11" s="8"/>
      <c r="B11" s="8"/>
      <c r="C11" s="8"/>
      <c r="D11" s="8"/>
      <c r="E11" s="8"/>
      <c r="F11" s="8"/>
      <c r="G11" s="8"/>
      <c r="H11" s="8"/>
      <c r="I11" s="8"/>
      <c r="J11" s="8"/>
      <c r="K11" s="8"/>
      <c r="L11" s="8"/>
      <c r="M11" s="8"/>
      <c r="N11" s="8"/>
      <c r="O11" s="8"/>
      <c r="P11" s="8"/>
      <c r="Q11" s="8"/>
    </row>
    <row r="12" spans="1:17" x14ac:dyDescent="0.3">
      <c r="A12" s="8"/>
      <c r="B12" s="8"/>
      <c r="C12" s="8"/>
      <c r="D12" s="8"/>
      <c r="E12" s="8"/>
      <c r="F12" s="8"/>
      <c r="G12" s="8"/>
      <c r="H12" s="8"/>
      <c r="I12" s="8"/>
      <c r="J12" s="8"/>
      <c r="K12" s="8"/>
      <c r="L12" s="8"/>
      <c r="M12" s="8"/>
      <c r="N12" s="8"/>
      <c r="O12" s="8"/>
      <c r="P12" s="8"/>
      <c r="Q12" s="8"/>
    </row>
    <row r="13" spans="1:17" x14ac:dyDescent="0.3">
      <c r="A13" s="8"/>
      <c r="B13" s="8"/>
      <c r="C13" s="8"/>
      <c r="D13" s="8"/>
      <c r="E13" s="8"/>
      <c r="F13" s="8"/>
      <c r="G13" s="8"/>
      <c r="H13" s="8"/>
      <c r="I13" s="8"/>
      <c r="J13" s="8"/>
      <c r="K13" s="8"/>
      <c r="L13" s="8"/>
      <c r="M13" s="8"/>
      <c r="N13" s="8"/>
      <c r="O13" s="8"/>
      <c r="P13" s="8"/>
      <c r="Q13" s="8"/>
    </row>
    <row r="14" spans="1:17" x14ac:dyDescent="0.3">
      <c r="A14" s="8"/>
      <c r="B14" s="8"/>
      <c r="C14" s="8"/>
      <c r="D14" s="8"/>
      <c r="E14" s="8"/>
      <c r="F14" s="8"/>
      <c r="G14" s="8"/>
      <c r="H14" s="8"/>
      <c r="I14" s="8"/>
      <c r="J14" s="8"/>
      <c r="K14" s="8"/>
      <c r="L14" s="8"/>
      <c r="M14" s="8"/>
      <c r="N14" s="8"/>
      <c r="O14" s="8"/>
      <c r="P14" s="8"/>
      <c r="Q14" s="8"/>
    </row>
    <row r="15" spans="1:17" x14ac:dyDescent="0.3">
      <c r="A15" s="8"/>
      <c r="B15" s="8"/>
      <c r="C15" s="8"/>
      <c r="D15" s="8"/>
      <c r="E15" s="8"/>
      <c r="F15" s="8"/>
      <c r="G15" s="8"/>
      <c r="H15" s="8"/>
      <c r="I15" s="8"/>
      <c r="J15" s="8"/>
      <c r="K15" s="8"/>
      <c r="L15" s="8"/>
      <c r="M15" s="8"/>
      <c r="N15" s="8"/>
      <c r="O15" s="8"/>
      <c r="P15" s="8"/>
      <c r="Q15" s="8"/>
    </row>
    <row r="16" spans="1:17" x14ac:dyDescent="0.3">
      <c r="A16" s="8"/>
      <c r="B16" s="8"/>
      <c r="C16" s="8"/>
      <c r="D16" s="8"/>
      <c r="E16" s="8"/>
      <c r="F16" s="8"/>
      <c r="G16" s="8"/>
      <c r="H16" s="8"/>
      <c r="I16" s="8"/>
      <c r="J16" s="8"/>
      <c r="K16" s="8"/>
      <c r="L16" s="8"/>
      <c r="M16" s="8"/>
      <c r="N16" s="8"/>
      <c r="O16" s="8"/>
      <c r="P16" s="8"/>
      <c r="Q16" s="8"/>
    </row>
    <row r="17" spans="1:17" x14ac:dyDescent="0.3">
      <c r="A17" s="8"/>
      <c r="B17" s="8"/>
      <c r="C17" s="8"/>
      <c r="D17" s="8"/>
      <c r="E17" s="8"/>
      <c r="F17" s="8"/>
      <c r="G17" s="8"/>
      <c r="H17" s="8"/>
      <c r="I17" s="8"/>
      <c r="J17" s="8"/>
      <c r="K17" s="8"/>
      <c r="L17" s="8"/>
      <c r="M17" s="8"/>
      <c r="N17" s="8"/>
      <c r="O17" s="8"/>
      <c r="P17" s="8"/>
      <c r="Q17" s="8"/>
    </row>
    <row r="18" spans="1:17" x14ac:dyDescent="0.3">
      <c r="A18" s="8"/>
      <c r="B18" s="8"/>
      <c r="C18" s="8"/>
      <c r="D18" s="8"/>
      <c r="E18" s="8"/>
      <c r="F18" s="8"/>
      <c r="G18" s="8"/>
      <c r="H18" s="8"/>
      <c r="I18" s="8"/>
      <c r="J18" s="8"/>
      <c r="K18" s="8"/>
      <c r="L18" s="8"/>
      <c r="M18" s="8"/>
      <c r="N18" s="8"/>
      <c r="O18" s="8"/>
      <c r="P18" s="8"/>
      <c r="Q18" s="8"/>
    </row>
    <row r="19" spans="1:17" x14ac:dyDescent="0.3">
      <c r="A19" s="8"/>
      <c r="B19" s="8"/>
      <c r="C19" s="8"/>
      <c r="D19" s="8"/>
      <c r="E19" s="8"/>
      <c r="F19" s="8"/>
      <c r="G19" s="8"/>
      <c r="H19" s="8"/>
      <c r="I19" s="8"/>
      <c r="J19" s="8"/>
      <c r="K19" s="8"/>
      <c r="L19" s="8"/>
      <c r="M19" s="8"/>
      <c r="N19" s="8"/>
      <c r="O19" s="8"/>
      <c r="P19" s="8"/>
      <c r="Q19" s="8"/>
    </row>
    <row r="20" spans="1:17" x14ac:dyDescent="0.3">
      <c r="A20" s="8"/>
      <c r="B20" s="8"/>
      <c r="C20" s="8"/>
      <c r="D20" s="8"/>
      <c r="E20" s="8"/>
      <c r="F20" s="8"/>
      <c r="G20" s="8"/>
      <c r="H20" s="8"/>
      <c r="I20" s="8"/>
      <c r="J20" s="8"/>
      <c r="K20" s="8"/>
      <c r="L20" s="8"/>
      <c r="M20" s="8"/>
      <c r="N20" s="8"/>
      <c r="O20" s="8"/>
      <c r="P20" s="8"/>
      <c r="Q20" s="8"/>
    </row>
    <row r="21" spans="1:17" x14ac:dyDescent="0.3">
      <c r="A21" s="8"/>
      <c r="B21" s="8"/>
      <c r="C21" s="8"/>
      <c r="D21" s="8"/>
      <c r="E21" s="8"/>
      <c r="F21" s="8"/>
      <c r="G21" s="8"/>
      <c r="H21" s="8"/>
      <c r="I21" s="8"/>
      <c r="J21" s="8"/>
      <c r="K21" s="8"/>
      <c r="L21" s="8"/>
      <c r="M21" s="8"/>
      <c r="N21" s="8"/>
      <c r="O21" s="8"/>
      <c r="P21" s="8"/>
      <c r="Q21" s="8"/>
    </row>
    <row r="22" spans="1:17" x14ac:dyDescent="0.3">
      <c r="A22" s="8"/>
      <c r="B22" s="8"/>
      <c r="C22" s="8"/>
      <c r="D22" s="8" t="s">
        <v>9</v>
      </c>
      <c r="E22" s="8"/>
      <c r="F22" s="8"/>
      <c r="G22" s="8"/>
      <c r="H22" s="8"/>
      <c r="I22" s="8"/>
      <c r="J22" s="8"/>
      <c r="K22" s="8"/>
      <c r="L22" s="8"/>
      <c r="M22" s="8"/>
      <c r="N22" s="8"/>
      <c r="O22" s="8"/>
      <c r="P22" s="8"/>
      <c r="Q22" s="8"/>
    </row>
    <row r="23" spans="1:17" x14ac:dyDescent="0.3">
      <c r="A23" s="8"/>
      <c r="B23" s="8"/>
      <c r="C23" s="8"/>
      <c r="D23" s="8"/>
      <c r="E23" s="8"/>
      <c r="F23" s="8"/>
      <c r="G23" s="8"/>
      <c r="H23" s="8"/>
      <c r="I23" s="8"/>
      <c r="J23" s="8"/>
      <c r="K23" s="8"/>
      <c r="L23" s="8"/>
      <c r="M23" s="8"/>
      <c r="N23" s="8"/>
      <c r="O23" s="8"/>
      <c r="P23" s="8"/>
      <c r="Q23" s="8"/>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Props1.xml><?xml version="1.0" encoding="utf-8"?>
<ds:datastoreItem xmlns:ds="http://schemas.openxmlformats.org/officeDocument/2006/customXml" ds:itemID="{99A147AC-40FE-4DA7-B634-1969649D37E8}">
  <ds:schemaRefs/>
</ds:datastoreItem>
</file>

<file path=customXml/itemProps2.xml><?xml version="1.0" encoding="utf-8"?>
<ds:datastoreItem xmlns:ds="http://schemas.openxmlformats.org/officeDocument/2006/customXml" ds:itemID="{EE91971D-4B3C-4692-AD3D-0BD1D5B840A7}">
  <ds:schemaRefs/>
</ds:datastoreItem>
</file>

<file path=customXml/itemProps3.xml><?xml version="1.0" encoding="utf-8"?>
<ds:datastoreItem xmlns:ds="http://schemas.openxmlformats.org/officeDocument/2006/customXml" ds:itemID="{6495079B-6712-4B58-A158-B7EB09C5317F}">
  <ds:schemaRefs/>
</ds:datastoreItem>
</file>

<file path=customXml/itemProps4.xml><?xml version="1.0" encoding="utf-8"?>
<ds:datastoreItem xmlns:ds="http://schemas.openxmlformats.org/officeDocument/2006/customXml" ds:itemID="{E6161735-04E9-40BD-801C-C85A4B25F277}">
  <ds:schemaRefs/>
</ds:datastoreItem>
</file>

<file path=customXml/itemProps5.xml><?xml version="1.0" encoding="utf-8"?>
<ds:datastoreItem xmlns:ds="http://schemas.openxmlformats.org/officeDocument/2006/customXml" ds:itemID="{16FEE820-0F14-4A1E-97FB-E324228EA1E6}">
  <ds:schemaRefs/>
</ds:datastoreItem>
</file>

<file path=customXml/itemProps6.xml><?xml version="1.0" encoding="utf-8"?>
<ds:datastoreItem xmlns:ds="http://schemas.openxmlformats.org/officeDocument/2006/customXml" ds:itemID="{111E7091-A882-4FF4-8E01-440FB8DD74BC}">
  <ds:schemaRefs/>
</ds:datastoreItem>
</file>

<file path=customXml/itemProps7.xml><?xml version="1.0" encoding="utf-8"?>
<ds:datastoreItem xmlns:ds="http://schemas.openxmlformats.org/officeDocument/2006/customXml" ds:itemID="{ADCD753E-A2ED-4F7C-B5B3-B4381C3CB5F4}">
  <ds:schemaRefs/>
</ds:datastoreItem>
</file>

<file path=customXml/itemProps8.xml><?xml version="1.0" encoding="utf-8"?>
<ds:datastoreItem xmlns:ds="http://schemas.openxmlformats.org/officeDocument/2006/customXml" ds:itemID="{8D8153D6-8173-4769-B40A-4052A41E26A6}">
  <ds:schemaRefs/>
</ds:datastoreItem>
</file>

<file path=customXml/itemProps9.xml><?xml version="1.0" encoding="utf-8"?>
<ds:datastoreItem xmlns:ds="http://schemas.openxmlformats.org/officeDocument/2006/customXml" ds:itemID="{27F67FEF-6A89-49BB-A642-BAD838E7A419}">
  <ds:schemaRefs/>
</ds:datastoreItem>
</file>

<file path=customXml/itemProps10.xml><?xml version="1.0" encoding="utf-8"?>
<ds:datastoreItem xmlns:ds="http://schemas.openxmlformats.org/officeDocument/2006/customXml" ds:itemID="{BD1AA6C8-3554-4017-AA9D-D347D7EA93DB}">
  <ds:schemaRefs/>
</ds:datastoreItem>
</file>

<file path=customXml/itemProps11.xml><?xml version="1.0" encoding="utf-8"?>
<ds:datastoreItem xmlns:ds="http://schemas.openxmlformats.org/officeDocument/2006/customXml" ds:itemID="{1FA77759-5BC1-4EB9-AD15-E21DAA41808D}">
  <ds:schemaRefs/>
</ds:datastoreItem>
</file>

<file path=customXml/itemProps12.xml><?xml version="1.0" encoding="utf-8"?>
<ds:datastoreItem xmlns:ds="http://schemas.openxmlformats.org/officeDocument/2006/customXml" ds:itemID="{D67E99D3-B08A-4DBB-91A2-38D9A8ED292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Average wait time daily trend</vt:lpstr>
      <vt:lpstr>Daily ER No of patient</vt:lpstr>
      <vt:lpstr>Satisfaction score daily trends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Jaan BABU</dc:creator>
  <cp:lastModifiedBy>Golu Kumar</cp:lastModifiedBy>
  <dcterms:created xsi:type="dcterms:W3CDTF">2026-05-03T08:25:23Z</dcterms:created>
  <dcterms:modified xsi:type="dcterms:W3CDTF">2026-05-17T12:09:50Z</dcterms:modified>
</cp:coreProperties>
</file>